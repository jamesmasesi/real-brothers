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thome\REAL BROTHERS\"/>
    </mc:Choice>
  </mc:AlternateContent>
  <xr:revisionPtr revIDLastSave="0" documentId="13_ncr:1_{99271CC4-83CF-45C7-9370-9C2053F29A66}" xr6:coauthVersionLast="47" xr6:coauthVersionMax="47" xr10:uidLastSave="{00000000-0000-0000-0000-000000000000}"/>
  <bookViews>
    <workbookView xWindow="-120" yWindow="-120" windowWidth="20730" windowHeight="11160" activeTab="1" xr2:uid="{6ECCE696-509A-41EF-82B1-DD97C5045350}"/>
  </bookViews>
  <sheets>
    <sheet name="2024" sheetId="1" r:id="rId1"/>
    <sheet name="2025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4" l="1"/>
  <c r="L13" i="4" l="1"/>
  <c r="M13" i="4"/>
  <c r="M9" i="4"/>
  <c r="M4" i="4"/>
  <c r="M5" i="4"/>
  <c r="M6" i="4"/>
  <c r="M7" i="4"/>
  <c r="M8" i="4"/>
  <c r="M10" i="4"/>
  <c r="M11" i="4"/>
  <c r="M12" i="4"/>
  <c r="M14" i="4"/>
  <c r="M15" i="4"/>
  <c r="M16" i="4"/>
  <c r="M17" i="4"/>
  <c r="M18" i="4"/>
  <c r="M19" i="4"/>
  <c r="M20" i="4"/>
  <c r="M21" i="4"/>
  <c r="M22" i="4"/>
  <c r="M23" i="4"/>
  <c r="M24" i="4"/>
  <c r="M3" i="4"/>
  <c r="I12" i="4"/>
  <c r="J23" i="4"/>
  <c r="H17" i="4"/>
  <c r="H12" i="4" l="1"/>
  <c r="I5" i="4" l="1"/>
  <c r="H8" i="4"/>
  <c r="H15" i="4"/>
  <c r="I20" i="4" l="1"/>
  <c r="H9" i="4" l="1"/>
  <c r="H5" i="4"/>
  <c r="I21" i="4"/>
  <c r="H7" i="4"/>
  <c r="T19" i="1"/>
  <c r="O16" i="1"/>
  <c r="E24" i="1"/>
  <c r="F24" i="1"/>
  <c r="G24" i="1"/>
  <c r="H24" i="1"/>
  <c r="I24" i="1"/>
  <c r="J24" i="1"/>
  <c r="K24" i="1"/>
  <c r="L24" i="1"/>
  <c r="M24" i="1"/>
  <c r="N24" i="1"/>
  <c r="D24" i="1"/>
  <c r="P23" i="1"/>
  <c r="P22" i="1"/>
  <c r="O19" i="1"/>
  <c r="P18" i="1"/>
  <c r="O17" i="1"/>
  <c r="P13" i="1"/>
  <c r="P10" i="1"/>
  <c r="P5" i="1"/>
  <c r="P4" i="1"/>
  <c r="P2" i="1"/>
  <c r="P24" i="1" l="1"/>
  <c r="O24" i="1"/>
  <c r="Q24" i="1" l="1"/>
</calcChain>
</file>

<file path=xl/sharedStrings.xml><?xml version="1.0" encoding="utf-8"?>
<sst xmlns="http://schemas.openxmlformats.org/spreadsheetml/2006/main" count="84" uniqueCount="57">
  <si>
    <t>MEMBER</t>
  </si>
  <si>
    <t>ATTENDANCE</t>
  </si>
  <si>
    <t>JAMES KITHOME</t>
  </si>
  <si>
    <t>MUTHOKA DANIEL</t>
  </si>
  <si>
    <t>DOMINIC MWENDWA</t>
  </si>
  <si>
    <t>NICHOLUS KIMEU</t>
  </si>
  <si>
    <t>ERICK NDAMBUKI</t>
  </si>
  <si>
    <t>DENIS MUIWA</t>
  </si>
  <si>
    <t>ONESMUS MUSYOKA</t>
  </si>
  <si>
    <t>ONESMUS MWISA</t>
  </si>
  <si>
    <t>ONESMUS MWONGELA</t>
  </si>
  <si>
    <t>KELVIN MUTHUSI</t>
  </si>
  <si>
    <t>JORUM MUTINA</t>
  </si>
  <si>
    <t>DENIS MWENDWA</t>
  </si>
  <si>
    <t>LEORNARD  MUSYOKI</t>
  </si>
  <si>
    <t>ERICK MUUO</t>
  </si>
  <si>
    <t>FAUSTINE MWENDWA</t>
  </si>
  <si>
    <t>CHARLSE  WAMBUA</t>
  </si>
  <si>
    <t>SIMON NTHIW'A</t>
  </si>
  <si>
    <t>JUSTUS NTHIW'A</t>
  </si>
  <si>
    <t>TIMOTHY MUTUA</t>
  </si>
  <si>
    <t>MOSES WAMBUA</t>
  </si>
  <si>
    <t>LUCAS MWANGANGI</t>
  </si>
  <si>
    <t xml:space="preserve">MUTINDA NZIOKA </t>
  </si>
  <si>
    <t>JAN</t>
  </si>
  <si>
    <t>FEB</t>
  </si>
  <si>
    <t>MAR</t>
  </si>
  <si>
    <t>APR</t>
  </si>
  <si>
    <t>MAY</t>
  </si>
  <si>
    <t>JUN</t>
  </si>
  <si>
    <t>OCT</t>
  </si>
  <si>
    <t>NOV</t>
  </si>
  <si>
    <t>0</t>
  </si>
  <si>
    <t>200</t>
  </si>
  <si>
    <t>JULY</t>
  </si>
  <si>
    <t xml:space="preserve">AUG/ONES </t>
  </si>
  <si>
    <t xml:space="preserve">WAVE 1 </t>
  </si>
  <si>
    <t>WAVE 2</t>
  </si>
  <si>
    <t>4400</t>
  </si>
  <si>
    <t>TOTALS</t>
  </si>
  <si>
    <t xml:space="preserve">FARE  TO ONES' </t>
  </si>
  <si>
    <t>FARE TO PAUL'S</t>
  </si>
  <si>
    <t>SEP/PAUL</t>
  </si>
  <si>
    <t xml:space="preserve">SERIAL NUMBER </t>
  </si>
  <si>
    <t>TOTAL BAL</t>
  </si>
  <si>
    <t>DEC</t>
  </si>
  <si>
    <t>JOHN MAUNDU</t>
  </si>
  <si>
    <t>WAVE 1 2025</t>
  </si>
  <si>
    <t>WAVE  2 2025</t>
  </si>
  <si>
    <t>ALBANUS KIOKO</t>
  </si>
  <si>
    <t>DANIEL WIO</t>
  </si>
  <si>
    <t>WAVE 1  2026</t>
  </si>
  <si>
    <t>MARCH</t>
  </si>
  <si>
    <t>APRIL</t>
  </si>
  <si>
    <t xml:space="preserve">BALANCES </t>
  </si>
  <si>
    <t xml:space="preserve"> YEARLY BAL</t>
  </si>
  <si>
    <t xml:space="preserve">MONTHLY 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</si>
</sst>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KES]\ * #,##0_);_([$KES]\ * \(#,##0\);_([$KES]\ * &quot;-&quot;_);_(@_)"/>
    <numFmt numFmtId="165" formatCode="_([$KES]\ * #,##0.00_);_([$KES]\ * \(#,##0.00\);_([$KES]\ * &quot;-&quot;??_);_(@_)"/>
    <numFmt numFmtId="166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name val="Calibri"/>
      <family val="2"/>
    </font>
    <font>
      <sz val="2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49" fontId="0" fillId="0" borderId="0" xfId="0" applyNumberFormat="1"/>
    <xf numFmtId="0" fontId="3" fillId="0" borderId="0" xfId="0" applyFont="1"/>
    <xf numFmtId="164" fontId="4" fillId="0" borderId="1" xfId="1" applyNumberFormat="1" applyFont="1" applyBorder="1" applyAlignment="1">
      <alignment horizontal="left" vertical="top" wrapText="1"/>
    </xf>
    <xf numFmtId="164" fontId="5" fillId="0" borderId="1" xfId="1" applyNumberFormat="1" applyFont="1" applyBorder="1"/>
    <xf numFmtId="164" fontId="0" fillId="0" borderId="0" xfId="1" applyNumberFormat="1" applyFont="1"/>
    <xf numFmtId="164" fontId="6" fillId="0" borderId="1" xfId="1" applyNumberFormat="1" applyFont="1" applyBorder="1" applyAlignment="1">
      <alignment horizontal="left" vertical="top"/>
    </xf>
    <xf numFmtId="164" fontId="0" fillId="0" borderId="1" xfId="1" applyNumberFormat="1" applyFont="1" applyBorder="1"/>
    <xf numFmtId="164" fontId="13" fillId="0" borderId="1" xfId="1" applyNumberFormat="1" applyFont="1" applyBorder="1"/>
    <xf numFmtId="164" fontId="3" fillId="0" borderId="1" xfId="1" applyNumberFormat="1" applyFont="1" applyBorder="1"/>
    <xf numFmtId="164" fontId="7" fillId="0" borderId="1" xfId="1" applyNumberFormat="1" applyFont="1" applyBorder="1"/>
    <xf numFmtId="164" fontId="8" fillId="0" borderId="1" xfId="1" applyNumberFormat="1" applyFont="1" applyBorder="1"/>
    <xf numFmtId="164" fontId="14" fillId="0" borderId="1" xfId="1" applyNumberFormat="1" applyFont="1" applyBorder="1"/>
    <xf numFmtId="164" fontId="2" fillId="0" borderId="1" xfId="1" applyNumberFormat="1" applyFont="1" applyBorder="1"/>
    <xf numFmtId="164" fontId="0" fillId="2" borderId="1" xfId="1" applyNumberFormat="1" applyFont="1" applyFill="1" applyBorder="1"/>
    <xf numFmtId="164" fontId="2" fillId="2" borderId="1" xfId="1" applyNumberFormat="1" applyFont="1" applyFill="1" applyBorder="1"/>
    <xf numFmtId="164" fontId="0" fillId="0" borderId="1" xfId="1" applyNumberFormat="1" applyFont="1" applyFill="1" applyBorder="1"/>
    <xf numFmtId="164" fontId="11" fillId="0" borderId="1" xfId="1" applyNumberFormat="1" applyFont="1" applyBorder="1"/>
    <xf numFmtId="164" fontId="0" fillId="3" borderId="1" xfId="1" applyNumberFormat="1" applyFont="1" applyFill="1" applyBorder="1"/>
    <xf numFmtId="164" fontId="2" fillId="3" borderId="1" xfId="1" applyNumberFormat="1" applyFont="1" applyFill="1" applyBorder="1"/>
    <xf numFmtId="164" fontId="6" fillId="0" borderId="1" xfId="1" applyNumberFormat="1" applyFont="1" applyBorder="1"/>
    <xf numFmtId="164" fontId="1" fillId="0" borderId="1" xfId="1" applyNumberFormat="1" applyFont="1" applyBorder="1"/>
    <xf numFmtId="164" fontId="12" fillId="0" borderId="1" xfId="1" applyNumberFormat="1" applyFont="1" applyBorder="1"/>
    <xf numFmtId="164" fontId="3" fillId="0" borderId="3" xfId="1" applyNumberFormat="1" applyFont="1" applyBorder="1"/>
    <xf numFmtId="164" fontId="3" fillId="0" borderId="2" xfId="1" applyNumberFormat="1" applyFont="1" applyBorder="1"/>
    <xf numFmtId="164" fontId="3" fillId="0" borderId="0" xfId="1" applyNumberFormat="1" applyFont="1"/>
    <xf numFmtId="164" fontId="9" fillId="0" borderId="1" xfId="1" applyNumberFormat="1" applyFont="1" applyBorder="1" applyAlignment="1">
      <alignment horizontal="left" vertical="top"/>
    </xf>
    <xf numFmtId="164" fontId="5" fillId="0" borderId="1" xfId="1" applyNumberFormat="1" applyFont="1" applyBorder="1" applyAlignment="1">
      <alignment wrapText="1"/>
    </xf>
    <xf numFmtId="164" fontId="3" fillId="0" borderId="0" xfId="0" applyNumberFormat="1" applyFont="1"/>
    <xf numFmtId="164" fontId="6" fillId="0" borderId="1" xfId="1" applyNumberFormat="1" applyFont="1" applyFill="1" applyBorder="1" applyAlignment="1">
      <alignment horizontal="left" vertical="top"/>
    </xf>
    <xf numFmtId="164" fontId="5" fillId="0" borderId="1" xfId="1" applyNumberFormat="1" applyFont="1" applyBorder="1" applyAlignment="1">
      <alignment horizontal="center" wrapText="1"/>
    </xf>
    <xf numFmtId="0" fontId="3" fillId="0" borderId="0" xfId="0" applyFont="1" applyAlignment="1">
      <alignment wrapText="1"/>
    </xf>
    <xf numFmtId="49" fontId="3" fillId="0" borderId="0" xfId="0" applyNumberFormat="1" applyFont="1"/>
    <xf numFmtId="0" fontId="15" fillId="0" borderId="0" xfId="0" applyFont="1"/>
    <xf numFmtId="164" fontId="16" fillId="0" borderId="1" xfId="1" applyNumberFormat="1" applyFont="1" applyBorder="1" applyAlignment="1">
      <alignment horizontal="left" vertical="top"/>
    </xf>
    <xf numFmtId="164" fontId="15" fillId="0" borderId="1" xfId="1" applyNumberFormat="1" applyFont="1" applyBorder="1"/>
    <xf numFmtId="164" fontId="16" fillId="0" borderId="1" xfId="1" applyNumberFormat="1" applyFont="1" applyBorder="1"/>
    <xf numFmtId="164" fontId="15" fillId="2" borderId="1" xfId="1" applyNumberFormat="1" applyFont="1" applyFill="1" applyBorder="1"/>
    <xf numFmtId="164" fontId="3" fillId="2" borderId="1" xfId="1" applyNumberFormat="1" applyFont="1" applyFill="1" applyBorder="1"/>
    <xf numFmtId="164" fontId="5" fillId="0" borderId="1" xfId="1" applyNumberFormat="1" applyFont="1" applyFill="1" applyBorder="1"/>
    <xf numFmtId="0" fontId="15" fillId="0" borderId="1" xfId="0" applyFont="1" applyBorder="1"/>
    <xf numFmtId="0" fontId="3" fillId="0" borderId="1" xfId="0" applyFont="1" applyBorder="1"/>
    <xf numFmtId="0" fontId="7" fillId="0" borderId="0" xfId="0" applyFont="1"/>
    <xf numFmtId="165" fontId="17" fillId="3" borderId="1" xfId="2" applyNumberFormat="1" applyFont="1" applyFill="1" applyBorder="1"/>
    <xf numFmtId="164" fontId="11" fillId="0" borderId="1" xfId="1" applyNumberFormat="1" applyFont="1" applyBorder="1" applyAlignment="1">
      <alignment horizontal="left" vertical="top"/>
    </xf>
    <xf numFmtId="0" fontId="18" fillId="0" borderId="0" xfId="0" applyFont="1"/>
    <xf numFmtId="165" fontId="3" fillId="3" borderId="1" xfId="2" applyNumberFormat="1" applyFont="1" applyFill="1" applyBorder="1"/>
    <xf numFmtId="164" fontId="19" fillId="0" borderId="1" xfId="1" applyNumberFormat="1" applyFont="1" applyBorder="1" applyAlignment="1">
      <alignment horizontal="left" vertical="top"/>
    </xf>
    <xf numFmtId="0" fontId="17" fillId="0" borderId="0" xfId="0" applyFont="1"/>
    <xf numFmtId="164" fontId="4" fillId="0" borderId="4" xfId="1" applyNumberFormat="1" applyFont="1" applyBorder="1" applyAlignment="1">
      <alignment horizontal="left" wrapText="1"/>
    </xf>
    <xf numFmtId="164" fontId="5" fillId="0" borderId="4" xfId="1" applyNumberFormat="1" applyFont="1" applyBorder="1" applyAlignment="1"/>
    <xf numFmtId="166" fontId="17" fillId="3" borderId="4" xfId="2" applyNumberFormat="1" applyFont="1" applyFill="1" applyBorder="1"/>
    <xf numFmtId="0" fontId="20" fillId="0" borderId="5" xfId="0" applyFont="1" applyBorder="1" applyAlignment="1">
      <alignment horizontal="center" wrapText="1"/>
    </xf>
    <xf numFmtId="0" fontId="20" fillId="0" borderId="0" xfId="0" applyFont="1"/>
    <xf numFmtId="165" fontId="15" fillId="3" borderId="1" xfId="2" applyNumberFormat="1" applyFont="1" applyFill="1" applyBorder="1"/>
    <xf numFmtId="0" fontId="0" fillId="0" borderId="5" xfId="0" applyBorder="1" applyAlignment="1">
      <alignment horizontal="center" wrapText="1"/>
    </xf>
    <xf numFmtId="164" fontId="0" fillId="4" borderId="1" xfId="1" applyNumberFormat="1" applyFont="1" applyFill="1" applyBorder="1"/>
    <xf numFmtId="164" fontId="3" fillId="4" borderId="1" xfId="1" applyNumberFormat="1" applyFont="1" applyFill="1" applyBorder="1"/>
    <xf numFmtId="164" fontId="1" fillId="4" borderId="1" xfId="1" applyNumberFormat="1" applyFont="1" applyFill="1" applyBorder="1"/>
    <xf numFmtId="164" fontId="21" fillId="4" borderId="1" xfId="1" applyNumberFormat="1" applyFont="1" applyFill="1" applyBorder="1"/>
    <xf numFmtId="164" fontId="22" fillId="4" borderId="1" xfId="1" applyNumberFormat="1" applyFont="1" applyFill="1" applyBorder="1"/>
    <xf numFmtId="164" fontId="22" fillId="0" borderId="1" xfId="1" applyNumberFormat="1" applyFont="1" applyBorder="1"/>
    <xf numFmtId="0" fontId="0" fillId="3" borderId="5" xfId="0" applyFill="1" applyBorder="1" applyAlignment="1">
      <alignment horizontal="center" wrapText="1"/>
    </xf>
    <xf numFmtId="164" fontId="5" fillId="3" borderId="4" xfId="1" applyNumberFormat="1" applyFont="1" applyFill="1" applyBorder="1" applyAlignment="1"/>
    <xf numFmtId="164" fontId="1" fillId="3" borderId="1" xfId="1" applyNumberFormat="1" applyFont="1" applyFill="1" applyBorder="1"/>
    <xf numFmtId="164" fontId="21" fillId="3" borderId="1" xfId="1" applyNumberFormat="1" applyFont="1" applyFill="1" applyBorder="1"/>
    <xf numFmtId="164" fontId="3" fillId="3" borderId="1" xfId="1" applyNumberFormat="1" applyFont="1" applyFill="1" applyBorder="1"/>
    <xf numFmtId="164" fontId="22" fillId="3" borderId="1" xfId="1" applyNumberFormat="1" applyFont="1" applyFill="1" applyBorder="1"/>
    <xf numFmtId="0" fontId="7" fillId="3" borderId="0" xfId="0" applyFont="1" applyFill="1"/>
    <xf numFmtId="0" fontId="0" fillId="3" borderId="0" xfId="0" applyFill="1"/>
    <xf numFmtId="0" fontId="20" fillId="0" borderId="5" xfId="0" applyFont="1" applyBorder="1" applyAlignment="1">
      <alignment horizontal="center" wrapText="1"/>
    </xf>
    <xf numFmtId="164" fontId="5" fillId="0" borderId="6" xfId="1" applyNumberFormat="1" applyFont="1" applyFill="1" applyBorder="1" applyAlignment="1"/>
    <xf numFmtId="165" fontId="17" fillId="3" borderId="6" xfId="2" applyNumberFormat="1" applyFont="1" applyFill="1" applyBorder="1"/>
    <xf numFmtId="165" fontId="0" fillId="0" borderId="1" xfId="0" applyNumberFormat="1" applyBorder="1"/>
    <xf numFmtId="0" fontId="20" fillId="0" borderId="6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1</xdr:row>
          <xdr:rowOff>0</xdr:rowOff>
        </xdr:from>
        <xdr:to>
          <xdr:col>2</xdr:col>
          <xdr:colOff>600075</xdr:colOff>
          <xdr:row>2</xdr:row>
          <xdr:rowOff>28575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1</xdr:row>
          <xdr:rowOff>152400</xdr:rowOff>
        </xdr:from>
        <xdr:to>
          <xdr:col>2</xdr:col>
          <xdr:colOff>600075</xdr:colOff>
          <xdr:row>3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2</xdr:row>
          <xdr:rowOff>152400</xdr:rowOff>
        </xdr:from>
        <xdr:to>
          <xdr:col>2</xdr:col>
          <xdr:colOff>600075</xdr:colOff>
          <xdr:row>4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3</xdr:row>
          <xdr:rowOff>152400</xdr:rowOff>
        </xdr:from>
        <xdr:to>
          <xdr:col>2</xdr:col>
          <xdr:colOff>600075</xdr:colOff>
          <xdr:row>5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4</xdr:row>
          <xdr:rowOff>152400</xdr:rowOff>
        </xdr:from>
        <xdr:to>
          <xdr:col>2</xdr:col>
          <xdr:colOff>600075</xdr:colOff>
          <xdr:row>6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5</xdr:row>
          <xdr:rowOff>152400</xdr:rowOff>
        </xdr:from>
        <xdr:to>
          <xdr:col>2</xdr:col>
          <xdr:colOff>600075</xdr:colOff>
          <xdr:row>7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6</xdr:row>
          <xdr:rowOff>152400</xdr:rowOff>
        </xdr:from>
        <xdr:to>
          <xdr:col>2</xdr:col>
          <xdr:colOff>600075</xdr:colOff>
          <xdr:row>8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7</xdr:row>
          <xdr:rowOff>152400</xdr:rowOff>
        </xdr:from>
        <xdr:to>
          <xdr:col>2</xdr:col>
          <xdr:colOff>600075</xdr:colOff>
          <xdr:row>9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8</xdr:row>
          <xdr:rowOff>152400</xdr:rowOff>
        </xdr:from>
        <xdr:to>
          <xdr:col>2</xdr:col>
          <xdr:colOff>600075</xdr:colOff>
          <xdr:row>10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9</xdr:row>
          <xdr:rowOff>152400</xdr:rowOff>
        </xdr:from>
        <xdr:to>
          <xdr:col>2</xdr:col>
          <xdr:colOff>600075</xdr:colOff>
          <xdr:row>11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10</xdr:row>
          <xdr:rowOff>152400</xdr:rowOff>
        </xdr:from>
        <xdr:to>
          <xdr:col>2</xdr:col>
          <xdr:colOff>600075</xdr:colOff>
          <xdr:row>12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11</xdr:row>
          <xdr:rowOff>152400</xdr:rowOff>
        </xdr:from>
        <xdr:to>
          <xdr:col>2</xdr:col>
          <xdr:colOff>600075</xdr:colOff>
          <xdr:row>13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12</xdr:row>
          <xdr:rowOff>152400</xdr:rowOff>
        </xdr:from>
        <xdr:to>
          <xdr:col>2</xdr:col>
          <xdr:colOff>600075</xdr:colOff>
          <xdr:row>14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13</xdr:row>
          <xdr:rowOff>152400</xdr:rowOff>
        </xdr:from>
        <xdr:to>
          <xdr:col>2</xdr:col>
          <xdr:colOff>600075</xdr:colOff>
          <xdr:row>15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14</xdr:row>
          <xdr:rowOff>152400</xdr:rowOff>
        </xdr:from>
        <xdr:to>
          <xdr:col>2</xdr:col>
          <xdr:colOff>600075</xdr:colOff>
          <xdr:row>16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15</xdr:row>
          <xdr:rowOff>152400</xdr:rowOff>
        </xdr:from>
        <xdr:to>
          <xdr:col>2</xdr:col>
          <xdr:colOff>600075</xdr:colOff>
          <xdr:row>17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16</xdr:row>
          <xdr:rowOff>152400</xdr:rowOff>
        </xdr:from>
        <xdr:to>
          <xdr:col>2</xdr:col>
          <xdr:colOff>600075</xdr:colOff>
          <xdr:row>18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17</xdr:row>
          <xdr:rowOff>152400</xdr:rowOff>
        </xdr:from>
        <xdr:to>
          <xdr:col>2</xdr:col>
          <xdr:colOff>600075</xdr:colOff>
          <xdr:row>19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18</xdr:row>
          <xdr:rowOff>152400</xdr:rowOff>
        </xdr:from>
        <xdr:to>
          <xdr:col>2</xdr:col>
          <xdr:colOff>600075</xdr:colOff>
          <xdr:row>20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19</xdr:row>
          <xdr:rowOff>152400</xdr:rowOff>
        </xdr:from>
        <xdr:to>
          <xdr:col>2</xdr:col>
          <xdr:colOff>600075</xdr:colOff>
          <xdr:row>21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20</xdr:row>
          <xdr:rowOff>152400</xdr:rowOff>
        </xdr:from>
        <xdr:to>
          <xdr:col>2</xdr:col>
          <xdr:colOff>600075</xdr:colOff>
          <xdr:row>22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21</xdr:row>
          <xdr:rowOff>152400</xdr:rowOff>
        </xdr:from>
        <xdr:to>
          <xdr:col>2</xdr:col>
          <xdr:colOff>600075</xdr:colOff>
          <xdr:row>23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FB66-EA5F-40FD-89D2-39D25F309B1F}">
  <sheetPr>
    <pageSetUpPr fitToPage="1"/>
  </sheetPr>
  <dimension ref="A1:T220"/>
  <sheetViews>
    <sheetView view="pageLayout" topLeftCell="A10" zoomScale="77" zoomScaleNormal="100" zoomScalePageLayoutView="77" workbookViewId="0">
      <selection activeCell="A22" sqref="A22"/>
    </sheetView>
  </sheetViews>
  <sheetFormatPr defaultRowHeight="15" x14ac:dyDescent="0.25"/>
  <cols>
    <col min="1" max="1" width="11.85546875" style="3" customWidth="1"/>
    <col min="2" max="2" width="27.140625" customWidth="1"/>
    <col min="3" max="3" width="17.140625" bestFit="1" customWidth="1"/>
    <col min="4" max="4" width="15.7109375" bestFit="1" customWidth="1"/>
    <col min="5" max="5" width="11.7109375" bestFit="1" customWidth="1"/>
    <col min="6" max="8" width="11.28515625" bestFit="1" customWidth="1"/>
    <col min="9" max="9" width="16.140625" bestFit="1" customWidth="1"/>
    <col min="10" max="10" width="11.5703125" style="2" customWidth="1"/>
    <col min="11" max="11" width="16.5703125" style="2" bestFit="1" customWidth="1"/>
    <col min="12" max="12" width="12.42578125" bestFit="1" customWidth="1"/>
    <col min="13" max="13" width="15.7109375" bestFit="1" customWidth="1"/>
    <col min="14" max="14" width="11.140625" customWidth="1"/>
    <col min="15" max="15" width="18.28515625" bestFit="1" customWidth="1"/>
    <col min="16" max="16" width="17.42578125" bestFit="1" customWidth="1"/>
    <col min="17" max="17" width="18.85546875" customWidth="1"/>
    <col min="18" max="18" width="15" bestFit="1" customWidth="1"/>
    <col min="19" max="19" width="13.140625" customWidth="1"/>
    <col min="20" max="20" width="10.5703125" bestFit="1" customWidth="1"/>
  </cols>
  <sheetData>
    <row r="1" spans="1:19" ht="38.25" customHeight="1" x14ac:dyDescent="0.25">
      <c r="A1" s="32" t="s">
        <v>43</v>
      </c>
      <c r="B1" s="4" t="s">
        <v>0</v>
      </c>
      <c r="C1" s="5" t="s">
        <v>1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34</v>
      </c>
      <c r="K1" s="5" t="s">
        <v>35</v>
      </c>
      <c r="L1" s="5" t="s">
        <v>42</v>
      </c>
      <c r="M1" s="5" t="s">
        <v>30</v>
      </c>
      <c r="N1" s="5" t="s">
        <v>31</v>
      </c>
      <c r="O1" s="5" t="s">
        <v>36</v>
      </c>
      <c r="P1" s="5" t="s">
        <v>37</v>
      </c>
      <c r="Q1" s="40" t="s">
        <v>44</v>
      </c>
      <c r="R1" s="28" t="s">
        <v>40</v>
      </c>
      <c r="S1" s="31" t="s">
        <v>41</v>
      </c>
    </row>
    <row r="2" spans="1:19" x14ac:dyDescent="0.25">
      <c r="A2" s="3">
        <v>1</v>
      </c>
      <c r="B2" s="7" t="s">
        <v>2</v>
      </c>
      <c r="C2" s="8"/>
      <c r="D2" s="8">
        <v>200</v>
      </c>
      <c r="E2" s="8">
        <v>200</v>
      </c>
      <c r="F2" s="8">
        <v>200</v>
      </c>
      <c r="G2" s="8">
        <v>200</v>
      </c>
      <c r="H2" s="8">
        <v>200</v>
      </c>
      <c r="I2" s="8">
        <v>200</v>
      </c>
      <c r="J2" s="9">
        <v>200</v>
      </c>
      <c r="K2" s="8">
        <v>230</v>
      </c>
      <c r="L2" s="8">
        <v>230</v>
      </c>
      <c r="M2" s="8">
        <v>200</v>
      </c>
      <c r="N2" s="8">
        <v>200</v>
      </c>
      <c r="O2" s="8">
        <v>7500</v>
      </c>
      <c r="P2" s="8">
        <f>2700+1300</f>
        <v>4000</v>
      </c>
      <c r="Q2" s="17">
        <v>0</v>
      </c>
      <c r="R2" s="8"/>
      <c r="S2" s="8"/>
    </row>
    <row r="3" spans="1:19" x14ac:dyDescent="0.25">
      <c r="A3" s="3">
        <v>2</v>
      </c>
      <c r="B3" s="7" t="s">
        <v>3</v>
      </c>
      <c r="C3" s="8"/>
      <c r="D3" s="8">
        <v>200</v>
      </c>
      <c r="E3" s="8">
        <v>400</v>
      </c>
      <c r="F3" s="8">
        <v>200</v>
      </c>
      <c r="G3" s="8">
        <v>200</v>
      </c>
      <c r="H3" s="8">
        <v>200</v>
      </c>
      <c r="I3" s="8">
        <v>200</v>
      </c>
      <c r="J3" s="9">
        <v>200</v>
      </c>
      <c r="K3" s="8">
        <v>230</v>
      </c>
      <c r="L3" s="8">
        <v>230</v>
      </c>
      <c r="M3" s="8">
        <v>400</v>
      </c>
      <c r="N3" s="8">
        <v>500</v>
      </c>
      <c r="O3" s="8">
        <v>7500</v>
      </c>
      <c r="P3" s="8">
        <v>7700</v>
      </c>
      <c r="Q3" s="17">
        <v>0</v>
      </c>
      <c r="R3" s="8"/>
      <c r="S3" s="8"/>
    </row>
    <row r="4" spans="1:19" x14ac:dyDescent="0.25">
      <c r="A4" s="3">
        <v>3</v>
      </c>
      <c r="B4" s="7" t="s">
        <v>4</v>
      </c>
      <c r="C4" s="8"/>
      <c r="D4" s="8">
        <v>200</v>
      </c>
      <c r="E4" s="8">
        <v>200</v>
      </c>
      <c r="F4" s="8">
        <v>200</v>
      </c>
      <c r="G4" s="8">
        <v>200</v>
      </c>
      <c r="H4" s="8">
        <v>400</v>
      </c>
      <c r="I4" s="8">
        <v>400</v>
      </c>
      <c r="J4" s="9">
        <v>250</v>
      </c>
      <c r="K4" s="8">
        <v>230</v>
      </c>
      <c r="L4" s="8">
        <v>530</v>
      </c>
      <c r="M4" s="8">
        <v>0</v>
      </c>
      <c r="N4" s="8">
        <v>200</v>
      </c>
      <c r="O4" s="8">
        <v>7500</v>
      </c>
      <c r="P4" s="8">
        <f>1250+1200-200-280+1530+1500</f>
        <v>5000</v>
      </c>
      <c r="Q4" s="17">
        <v>500</v>
      </c>
      <c r="R4" s="8"/>
      <c r="S4" s="8"/>
    </row>
    <row r="5" spans="1:19" x14ac:dyDescent="0.25">
      <c r="A5" s="3">
        <v>4</v>
      </c>
      <c r="B5" s="7" t="s">
        <v>5</v>
      </c>
      <c r="C5" s="8"/>
      <c r="D5" s="8">
        <v>400</v>
      </c>
      <c r="E5" s="8">
        <v>200</v>
      </c>
      <c r="F5" s="8">
        <v>200</v>
      </c>
      <c r="G5" s="8">
        <v>0</v>
      </c>
      <c r="H5" s="8"/>
      <c r="I5" s="8">
        <v>200</v>
      </c>
      <c r="J5" s="9">
        <v>200</v>
      </c>
      <c r="K5" s="8">
        <v>230</v>
      </c>
      <c r="L5" s="8">
        <v>230</v>
      </c>
      <c r="M5" s="10">
        <v>1500</v>
      </c>
      <c r="N5" s="10">
        <v>400</v>
      </c>
      <c r="O5" s="8">
        <v>7500</v>
      </c>
      <c r="P5" s="11">
        <f>500+600</f>
        <v>1100</v>
      </c>
      <c r="Q5" s="1"/>
      <c r="R5" s="8"/>
      <c r="S5" s="8"/>
    </row>
    <row r="6" spans="1:19" x14ac:dyDescent="0.25">
      <c r="A6" s="3">
        <v>5</v>
      </c>
      <c r="B6" s="7" t="s">
        <v>6</v>
      </c>
      <c r="C6" s="12"/>
      <c r="D6" s="8">
        <v>400</v>
      </c>
      <c r="E6" s="8">
        <v>400</v>
      </c>
      <c r="F6" s="8">
        <v>400</v>
      </c>
      <c r="G6" s="8">
        <v>200</v>
      </c>
      <c r="H6" s="8">
        <v>200</v>
      </c>
      <c r="I6" s="8">
        <v>400</v>
      </c>
      <c r="J6" s="9"/>
      <c r="K6" s="8">
        <v>230</v>
      </c>
      <c r="L6" s="8">
        <v>230</v>
      </c>
      <c r="M6" s="13">
        <v>700</v>
      </c>
      <c r="N6" s="12"/>
      <c r="O6" s="8">
        <v>7500</v>
      </c>
      <c r="P6" s="13">
        <v>0</v>
      </c>
      <c r="Q6" s="17">
        <v>500</v>
      </c>
      <c r="R6" s="8"/>
      <c r="S6" s="8"/>
    </row>
    <row r="7" spans="1:19" x14ac:dyDescent="0.25">
      <c r="A7" s="3">
        <v>6</v>
      </c>
      <c r="B7" s="7" t="s">
        <v>7</v>
      </c>
      <c r="C7" s="8"/>
      <c r="D7" s="8">
        <v>200</v>
      </c>
      <c r="E7" s="8">
        <v>400</v>
      </c>
      <c r="F7" s="8">
        <v>250</v>
      </c>
      <c r="G7" s="8">
        <v>200</v>
      </c>
      <c r="H7" s="8">
        <v>200</v>
      </c>
      <c r="I7" s="8">
        <v>200</v>
      </c>
      <c r="J7" s="9">
        <v>200</v>
      </c>
      <c r="K7" s="8">
        <v>230</v>
      </c>
      <c r="L7" s="8">
        <v>0</v>
      </c>
      <c r="M7" s="8">
        <v>200</v>
      </c>
      <c r="N7" s="8">
        <v>250</v>
      </c>
      <c r="O7" s="8">
        <v>7500</v>
      </c>
      <c r="P7" s="8">
        <v>2000</v>
      </c>
      <c r="Q7" s="1"/>
      <c r="R7" s="8"/>
      <c r="S7" s="8"/>
    </row>
    <row r="8" spans="1:19" s="34" customFormat="1" x14ac:dyDescent="0.25">
      <c r="A8" s="34">
        <v>7</v>
      </c>
      <c r="B8" s="35" t="s">
        <v>8</v>
      </c>
      <c r="C8" s="36"/>
      <c r="D8" s="36">
        <v>200</v>
      </c>
      <c r="E8" s="36">
        <v>0</v>
      </c>
      <c r="F8" s="36">
        <v>0</v>
      </c>
      <c r="G8" s="36">
        <v>0</v>
      </c>
      <c r="H8" s="36"/>
      <c r="I8" s="36" t="s">
        <v>33</v>
      </c>
      <c r="J8" s="37"/>
      <c r="K8" s="36">
        <v>0</v>
      </c>
      <c r="L8" s="36">
        <v>0</v>
      </c>
      <c r="M8" s="36"/>
      <c r="N8" s="36"/>
      <c r="O8" s="38">
        <v>0</v>
      </c>
      <c r="P8" s="38">
        <v>0</v>
      </c>
      <c r="Q8" s="41">
        <v>13460</v>
      </c>
      <c r="R8" s="36">
        <v>1200</v>
      </c>
      <c r="S8" s="36">
        <v>1200</v>
      </c>
    </row>
    <row r="9" spans="1:19" x14ac:dyDescent="0.25">
      <c r="A9" s="3">
        <v>8</v>
      </c>
      <c r="B9" s="7" t="s">
        <v>9</v>
      </c>
      <c r="C9" s="8"/>
      <c r="D9" s="8">
        <v>200</v>
      </c>
      <c r="E9" s="8">
        <v>300</v>
      </c>
      <c r="F9" s="17">
        <v>200</v>
      </c>
      <c r="G9" s="17">
        <v>0</v>
      </c>
      <c r="H9" s="8"/>
      <c r="I9" s="8"/>
      <c r="J9" s="9">
        <v>250</v>
      </c>
      <c r="K9" s="8">
        <v>230</v>
      </c>
      <c r="L9" s="8">
        <v>0</v>
      </c>
      <c r="M9" s="14"/>
      <c r="N9" s="14"/>
      <c r="O9" s="15">
        <v>6000</v>
      </c>
      <c r="P9" s="16"/>
      <c r="Q9" s="42">
        <v>4630</v>
      </c>
      <c r="R9" s="8"/>
      <c r="S9" s="8">
        <v>1200</v>
      </c>
    </row>
    <row r="10" spans="1:19" x14ac:dyDescent="0.25">
      <c r="A10" s="3">
        <v>9</v>
      </c>
      <c r="B10" s="7" t="s">
        <v>10</v>
      </c>
      <c r="C10" s="8"/>
      <c r="D10" s="8">
        <v>200</v>
      </c>
      <c r="E10" s="8">
        <v>200</v>
      </c>
      <c r="F10" s="8">
        <v>200</v>
      </c>
      <c r="G10" s="8">
        <v>200</v>
      </c>
      <c r="H10" s="8">
        <v>200</v>
      </c>
      <c r="I10" s="8">
        <v>200</v>
      </c>
      <c r="J10" s="9">
        <v>200</v>
      </c>
      <c r="K10" s="8">
        <v>230</v>
      </c>
      <c r="L10" s="8">
        <v>230</v>
      </c>
      <c r="M10" s="8">
        <v>200</v>
      </c>
      <c r="N10" s="8">
        <v>400</v>
      </c>
      <c r="O10" s="8">
        <v>7500</v>
      </c>
      <c r="P10" s="8">
        <f>2000+4000</f>
        <v>6000</v>
      </c>
      <c r="Q10" s="17">
        <v>0</v>
      </c>
      <c r="R10" s="8"/>
      <c r="S10" s="8"/>
    </row>
    <row r="11" spans="1:19" x14ac:dyDescent="0.25">
      <c r="A11" s="3">
        <v>10</v>
      </c>
      <c r="B11" s="7" t="s">
        <v>11</v>
      </c>
      <c r="C11" s="8"/>
      <c r="D11" s="8">
        <v>200</v>
      </c>
      <c r="E11" s="8">
        <v>400</v>
      </c>
      <c r="F11" s="8">
        <v>200</v>
      </c>
      <c r="G11" s="8">
        <v>200</v>
      </c>
      <c r="H11" s="8">
        <v>200</v>
      </c>
      <c r="I11" s="8">
        <v>400</v>
      </c>
      <c r="J11" s="9">
        <v>200</v>
      </c>
      <c r="K11" s="8">
        <v>230</v>
      </c>
      <c r="L11" s="8">
        <v>300</v>
      </c>
      <c r="M11" s="8">
        <v>400</v>
      </c>
      <c r="N11" s="8">
        <v>250</v>
      </c>
      <c r="O11" s="8">
        <v>7500</v>
      </c>
      <c r="P11" s="8">
        <v>5000</v>
      </c>
      <c r="Q11" s="17">
        <v>0</v>
      </c>
      <c r="R11" s="8"/>
      <c r="S11" s="8"/>
    </row>
    <row r="12" spans="1:19" x14ac:dyDescent="0.25">
      <c r="A12" s="3">
        <v>11</v>
      </c>
      <c r="B12" s="7" t="s">
        <v>12</v>
      </c>
      <c r="C12" s="8"/>
      <c r="D12" s="8">
        <v>400</v>
      </c>
      <c r="E12" s="8">
        <v>500</v>
      </c>
      <c r="F12" s="8">
        <v>200</v>
      </c>
      <c r="G12" s="8">
        <v>200</v>
      </c>
      <c r="H12" s="8">
        <v>200</v>
      </c>
      <c r="I12" s="8">
        <v>400</v>
      </c>
      <c r="J12" s="9">
        <v>200</v>
      </c>
      <c r="K12" s="8">
        <v>230</v>
      </c>
      <c r="L12" s="8">
        <v>230</v>
      </c>
      <c r="M12" s="8"/>
      <c r="N12" s="8"/>
      <c r="O12" s="8">
        <v>7500</v>
      </c>
      <c r="P12" s="8">
        <v>0</v>
      </c>
      <c r="Q12" s="17">
        <v>1000</v>
      </c>
      <c r="R12" s="8"/>
      <c r="S12" s="8"/>
    </row>
    <row r="13" spans="1:19" x14ac:dyDescent="0.25">
      <c r="A13" s="3">
        <v>12</v>
      </c>
      <c r="B13" s="7" t="s">
        <v>13</v>
      </c>
      <c r="C13" s="8"/>
      <c r="D13" s="8">
        <v>200</v>
      </c>
      <c r="E13" s="8">
        <v>400</v>
      </c>
      <c r="F13" s="8">
        <v>200</v>
      </c>
      <c r="G13" s="8">
        <v>0</v>
      </c>
      <c r="H13" s="8">
        <v>400</v>
      </c>
      <c r="I13" s="8">
        <v>200</v>
      </c>
      <c r="J13" s="9">
        <v>400</v>
      </c>
      <c r="K13" s="8">
        <v>230</v>
      </c>
      <c r="L13" s="8">
        <v>430</v>
      </c>
      <c r="M13" s="8">
        <v>200</v>
      </c>
      <c r="N13" s="8">
        <v>400</v>
      </c>
      <c r="O13" s="8">
        <v>7500</v>
      </c>
      <c r="P13" s="12">
        <f>1400-230</f>
        <v>1170</v>
      </c>
      <c r="Q13" s="17">
        <v>1200</v>
      </c>
      <c r="R13" s="8"/>
      <c r="S13" s="17">
        <v>1200</v>
      </c>
    </row>
    <row r="14" spans="1:19" x14ac:dyDescent="0.25">
      <c r="A14" s="3">
        <v>13</v>
      </c>
      <c r="B14" s="7" t="s">
        <v>14</v>
      </c>
      <c r="C14" s="8"/>
      <c r="D14" s="8">
        <v>500</v>
      </c>
      <c r="E14" s="8">
        <v>200</v>
      </c>
      <c r="F14" s="8">
        <v>200</v>
      </c>
      <c r="G14" s="8">
        <v>0</v>
      </c>
      <c r="H14" s="8" t="s">
        <v>32</v>
      </c>
      <c r="I14" s="8">
        <v>1200</v>
      </c>
      <c r="J14" s="9">
        <v>200</v>
      </c>
      <c r="K14" s="8">
        <v>230</v>
      </c>
      <c r="L14" s="8">
        <v>230</v>
      </c>
      <c r="M14" s="8"/>
      <c r="N14" s="8">
        <v>200</v>
      </c>
      <c r="O14" s="8">
        <v>7500</v>
      </c>
      <c r="P14" s="8">
        <v>5000</v>
      </c>
      <c r="Q14" s="17">
        <v>500</v>
      </c>
      <c r="R14" s="8"/>
      <c r="S14" s="8"/>
    </row>
    <row r="15" spans="1:19" x14ac:dyDescent="0.25">
      <c r="A15" s="3">
        <v>14</v>
      </c>
      <c r="B15" s="7" t="s">
        <v>15</v>
      </c>
      <c r="C15" s="8"/>
      <c r="D15" s="8">
        <v>200</v>
      </c>
      <c r="E15" s="8">
        <v>200</v>
      </c>
      <c r="F15" s="8">
        <v>200</v>
      </c>
      <c r="G15" s="8">
        <v>0</v>
      </c>
      <c r="H15" s="8" t="s">
        <v>32</v>
      </c>
      <c r="I15" s="8">
        <v>200</v>
      </c>
      <c r="J15" s="9"/>
      <c r="K15" s="8">
        <v>230</v>
      </c>
      <c r="L15" s="8">
        <v>0</v>
      </c>
      <c r="M15" s="8"/>
      <c r="N15" s="8"/>
      <c r="O15" s="15">
        <v>4500</v>
      </c>
      <c r="P15" s="16">
        <v>0</v>
      </c>
      <c r="Q15" s="17">
        <v>5430</v>
      </c>
      <c r="R15" s="8"/>
      <c r="S15" s="8"/>
    </row>
    <row r="16" spans="1:19" x14ac:dyDescent="0.25">
      <c r="A16" s="3">
        <v>15</v>
      </c>
      <c r="B16" s="7" t="s">
        <v>16</v>
      </c>
      <c r="C16" s="8"/>
      <c r="D16" s="8">
        <v>200</v>
      </c>
      <c r="E16" s="8">
        <v>200</v>
      </c>
      <c r="F16" s="8">
        <v>200</v>
      </c>
      <c r="G16" s="8">
        <v>400</v>
      </c>
      <c r="H16" s="8">
        <v>200</v>
      </c>
      <c r="I16" s="8"/>
      <c r="J16" s="9">
        <v>250</v>
      </c>
      <c r="K16" s="8">
        <v>230</v>
      </c>
      <c r="L16" s="8">
        <v>0</v>
      </c>
      <c r="M16" s="11">
        <v>200</v>
      </c>
      <c r="N16" s="11"/>
      <c r="O16" s="39">
        <f>7200-5000</f>
        <v>2200</v>
      </c>
      <c r="P16" s="16"/>
      <c r="Q16" s="17">
        <v>1800</v>
      </c>
      <c r="R16" s="8"/>
      <c r="S16" s="8"/>
    </row>
    <row r="17" spans="1:20" x14ac:dyDescent="0.25">
      <c r="A17" s="3">
        <v>16</v>
      </c>
      <c r="B17" s="7" t="s">
        <v>17</v>
      </c>
      <c r="C17" s="8"/>
      <c r="D17" s="8">
        <v>200</v>
      </c>
      <c r="E17" s="8">
        <v>200</v>
      </c>
      <c r="F17" s="8">
        <v>200</v>
      </c>
      <c r="G17" s="8">
        <v>200</v>
      </c>
      <c r="H17" s="18">
        <v>200</v>
      </c>
      <c r="I17" s="18"/>
      <c r="J17" s="18">
        <v>250</v>
      </c>
      <c r="K17" s="8">
        <v>230</v>
      </c>
      <c r="L17" s="8">
        <v>230</v>
      </c>
      <c r="M17" s="8">
        <v>200</v>
      </c>
      <c r="N17" s="8"/>
      <c r="O17" s="19">
        <f>5300+2200</f>
        <v>7500</v>
      </c>
      <c r="P17" s="20">
        <v>0</v>
      </c>
      <c r="Q17" s="17">
        <v>200</v>
      </c>
      <c r="R17" s="8"/>
      <c r="S17" s="8">
        <v>1200</v>
      </c>
    </row>
    <row r="18" spans="1:20" x14ac:dyDescent="0.25">
      <c r="A18" s="3">
        <v>17</v>
      </c>
      <c r="B18" s="7" t="s">
        <v>18</v>
      </c>
      <c r="C18" s="8"/>
      <c r="D18" s="8">
        <v>300</v>
      </c>
      <c r="E18" s="8">
        <v>300</v>
      </c>
      <c r="F18" s="8">
        <v>300</v>
      </c>
      <c r="G18" s="8">
        <v>300</v>
      </c>
      <c r="H18" s="8">
        <v>300</v>
      </c>
      <c r="I18" s="8">
        <v>300</v>
      </c>
      <c r="J18" s="9">
        <v>300</v>
      </c>
      <c r="K18" s="8">
        <v>230</v>
      </c>
      <c r="L18" s="8">
        <v>300</v>
      </c>
      <c r="M18" s="8">
        <v>300</v>
      </c>
      <c r="N18" s="8"/>
      <c r="O18" s="8">
        <v>7500</v>
      </c>
      <c r="P18" s="8">
        <f>1400-330</f>
        <v>1070</v>
      </c>
      <c r="Q18" s="17">
        <v>1200</v>
      </c>
      <c r="R18" s="8"/>
      <c r="S18" s="8">
        <v>1200</v>
      </c>
    </row>
    <row r="19" spans="1:20" x14ac:dyDescent="0.25">
      <c r="A19" s="3">
        <v>18</v>
      </c>
      <c r="B19" s="7" t="s">
        <v>19</v>
      </c>
      <c r="C19" s="8"/>
      <c r="D19" s="8">
        <v>0</v>
      </c>
      <c r="E19" s="8">
        <v>0</v>
      </c>
      <c r="F19" s="8">
        <v>0</v>
      </c>
      <c r="G19" s="8">
        <v>1600</v>
      </c>
      <c r="H19" s="8"/>
      <c r="I19" s="8" t="s">
        <v>32</v>
      </c>
      <c r="J19" s="9"/>
      <c r="K19" s="8"/>
      <c r="L19" s="8">
        <v>0</v>
      </c>
      <c r="M19" s="11">
        <v>300</v>
      </c>
      <c r="N19" s="11">
        <v>3800</v>
      </c>
      <c r="O19" s="15">
        <f>1400+5000-300</f>
        <v>6100</v>
      </c>
      <c r="P19" s="15">
        <v>0</v>
      </c>
      <c r="Q19" s="1"/>
      <c r="R19" s="8">
        <v>1200</v>
      </c>
      <c r="S19" s="8">
        <v>1200</v>
      </c>
      <c r="T19">
        <f>400*5+2400</f>
        <v>4400</v>
      </c>
    </row>
    <row r="20" spans="1:20" x14ac:dyDescent="0.25">
      <c r="A20" s="3">
        <v>19</v>
      </c>
      <c r="B20" s="7" t="s">
        <v>20</v>
      </c>
      <c r="C20" s="8"/>
      <c r="D20" s="8">
        <v>200</v>
      </c>
      <c r="E20" s="8">
        <v>400</v>
      </c>
      <c r="F20" s="8">
        <v>200</v>
      </c>
      <c r="G20" s="8">
        <v>200</v>
      </c>
      <c r="H20" s="8"/>
      <c r="I20" s="8">
        <v>200</v>
      </c>
      <c r="J20" s="9">
        <v>200</v>
      </c>
      <c r="K20" s="8">
        <v>230</v>
      </c>
      <c r="L20" s="8">
        <v>0</v>
      </c>
      <c r="M20" s="8"/>
      <c r="N20" s="8"/>
      <c r="O20" s="15">
        <v>6000</v>
      </c>
      <c r="P20" s="16">
        <v>0</v>
      </c>
      <c r="Q20" s="17">
        <v>3230</v>
      </c>
      <c r="R20" s="8"/>
      <c r="S20" s="8"/>
    </row>
    <row r="21" spans="1:20" x14ac:dyDescent="0.25">
      <c r="A21" s="3">
        <v>20</v>
      </c>
      <c r="B21" s="7" t="s">
        <v>21</v>
      </c>
      <c r="C21" s="8"/>
      <c r="D21" s="8">
        <v>300</v>
      </c>
      <c r="E21" s="8">
        <v>200</v>
      </c>
      <c r="F21" s="8">
        <v>200</v>
      </c>
      <c r="G21" s="8">
        <v>300</v>
      </c>
      <c r="H21" s="8">
        <v>700</v>
      </c>
      <c r="I21" s="8" t="s">
        <v>32</v>
      </c>
      <c r="J21" s="21">
        <v>800</v>
      </c>
      <c r="K21" s="8">
        <v>230</v>
      </c>
      <c r="L21" s="8"/>
      <c r="M21" s="14"/>
      <c r="N21" s="14"/>
      <c r="O21" s="8">
        <v>7500</v>
      </c>
      <c r="P21" s="8">
        <v>0</v>
      </c>
      <c r="Q21" s="17">
        <v>3030</v>
      </c>
      <c r="R21" s="8">
        <v>600</v>
      </c>
      <c r="S21" s="8">
        <v>1200</v>
      </c>
    </row>
    <row r="22" spans="1:20" x14ac:dyDescent="0.25">
      <c r="A22" s="3">
        <v>21</v>
      </c>
      <c r="B22" s="7" t="s">
        <v>22</v>
      </c>
      <c r="C22" s="8"/>
      <c r="D22" s="8">
        <v>300</v>
      </c>
      <c r="E22" s="8">
        <v>400</v>
      </c>
      <c r="F22" s="8">
        <v>300</v>
      </c>
      <c r="G22" s="8">
        <v>200</v>
      </c>
      <c r="H22" s="8">
        <v>300</v>
      </c>
      <c r="I22" s="8">
        <v>300</v>
      </c>
      <c r="J22" s="9">
        <v>200</v>
      </c>
      <c r="K22" s="8">
        <v>230</v>
      </c>
      <c r="L22" s="8">
        <v>330</v>
      </c>
      <c r="M22" s="22"/>
      <c r="N22" s="22"/>
      <c r="O22" s="8">
        <v>7500</v>
      </c>
      <c r="P22" s="8">
        <f>1300+4000-230-100+2530</f>
        <v>7500</v>
      </c>
      <c r="Q22" s="17">
        <v>800</v>
      </c>
      <c r="R22" s="8"/>
      <c r="S22" s="8"/>
    </row>
    <row r="23" spans="1:20" x14ac:dyDescent="0.25">
      <c r="A23" s="3">
        <v>22</v>
      </c>
      <c r="B23" s="7" t="s">
        <v>23</v>
      </c>
      <c r="C23" s="8"/>
      <c r="D23" s="8">
        <v>200</v>
      </c>
      <c r="E23" s="8"/>
      <c r="F23" s="8"/>
      <c r="G23" s="8"/>
      <c r="H23" s="23" t="s">
        <v>38</v>
      </c>
      <c r="I23" s="8">
        <v>300</v>
      </c>
      <c r="J23" s="9">
        <v>300</v>
      </c>
      <c r="K23" s="8">
        <v>230</v>
      </c>
      <c r="L23" s="8">
        <v>430</v>
      </c>
      <c r="M23" s="22">
        <v>400</v>
      </c>
      <c r="N23" s="22">
        <v>300</v>
      </c>
      <c r="O23" s="8">
        <v>7500</v>
      </c>
      <c r="P23" s="18">
        <f>950+1550-300+1430-330+3500-300</f>
        <v>6500</v>
      </c>
      <c r="Q23" s="1"/>
      <c r="R23" s="8"/>
      <c r="S23" s="8"/>
    </row>
    <row r="24" spans="1:20" s="3" customFormat="1" ht="15.75" thickBot="1" x14ac:dyDescent="0.3">
      <c r="A24" s="3">
        <v>23</v>
      </c>
      <c r="B24" s="24" t="s">
        <v>39</v>
      </c>
      <c r="C24" s="24"/>
      <c r="D24" s="24">
        <f>SUM(D2:D23)</f>
        <v>5400</v>
      </c>
      <c r="E24" s="25">
        <f>SUM(E2:E23)</f>
        <v>5700</v>
      </c>
      <c r="F24" s="25">
        <f t="shared" ref="F24:O24" si="0">SUM(F2:F23)</f>
        <v>4250</v>
      </c>
      <c r="G24" s="25">
        <f t="shared" si="0"/>
        <v>4800</v>
      </c>
      <c r="H24" s="25">
        <f t="shared" si="0"/>
        <v>3900</v>
      </c>
      <c r="I24" s="25">
        <f t="shared" si="0"/>
        <v>5300</v>
      </c>
      <c r="J24" s="25">
        <f t="shared" si="0"/>
        <v>4800</v>
      </c>
      <c r="K24" s="25">
        <f t="shared" si="0"/>
        <v>4600</v>
      </c>
      <c r="L24" s="25">
        <f t="shared" si="0"/>
        <v>4160</v>
      </c>
      <c r="M24" s="25">
        <f t="shared" si="0"/>
        <v>5200</v>
      </c>
      <c r="N24" s="25">
        <f t="shared" si="0"/>
        <v>6900</v>
      </c>
      <c r="O24" s="25">
        <f t="shared" si="0"/>
        <v>144800</v>
      </c>
      <c r="P24" s="25">
        <f>SUM(P2:P23)</f>
        <v>52040</v>
      </c>
      <c r="Q24" s="29">
        <f>SUM(D24:P24)</f>
        <v>251850</v>
      </c>
      <c r="R24" s="25"/>
      <c r="S24" s="25"/>
    </row>
    <row r="25" spans="1:20" ht="15.75" thickTop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26"/>
    </row>
    <row r="26" spans="1:20" x14ac:dyDescent="0.25">
      <c r="A26"/>
      <c r="J26"/>
      <c r="K26"/>
    </row>
    <row r="27" spans="1:20" x14ac:dyDescent="0.25">
      <c r="A27"/>
      <c r="J27"/>
      <c r="K27"/>
    </row>
    <row r="28" spans="1:20" x14ac:dyDescent="0.25">
      <c r="A28"/>
      <c r="J28"/>
      <c r="K28"/>
    </row>
    <row r="29" spans="1:20" x14ac:dyDescent="0.25">
      <c r="A29"/>
      <c r="J29"/>
      <c r="K29"/>
    </row>
    <row r="30" spans="1:20" x14ac:dyDescent="0.25">
      <c r="A30"/>
      <c r="J30"/>
      <c r="K30"/>
    </row>
    <row r="31" spans="1:20" x14ac:dyDescent="0.25">
      <c r="A31"/>
      <c r="J31"/>
      <c r="K31"/>
    </row>
    <row r="32" spans="1:20" x14ac:dyDescent="0.25">
      <c r="A32"/>
      <c r="J32"/>
      <c r="K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spans="1:11" x14ac:dyDescent="0.25">
      <c r="A65"/>
      <c r="J65"/>
      <c r="K65"/>
    </row>
    <row r="66" spans="1:11" x14ac:dyDescent="0.25">
      <c r="A66"/>
      <c r="J66"/>
      <c r="K66"/>
    </row>
    <row r="67" spans="1:11" x14ac:dyDescent="0.25">
      <c r="A67"/>
      <c r="J67"/>
      <c r="K67"/>
    </row>
    <row r="68" spans="1:11" x14ac:dyDescent="0.25">
      <c r="A68"/>
      <c r="J68"/>
      <c r="K68"/>
    </row>
    <row r="69" spans="1:11" x14ac:dyDescent="0.25">
      <c r="A69"/>
      <c r="J69"/>
      <c r="K69"/>
    </row>
    <row r="70" spans="1:11" x14ac:dyDescent="0.25">
      <c r="A70" s="33"/>
      <c r="J70"/>
      <c r="K70"/>
    </row>
    <row r="71" spans="1:11" x14ac:dyDescent="0.25">
      <c r="A71" s="33"/>
      <c r="J71"/>
      <c r="K71"/>
    </row>
    <row r="72" spans="1:11" x14ac:dyDescent="0.25">
      <c r="A72" s="33"/>
      <c r="J72"/>
      <c r="K72"/>
    </row>
    <row r="73" spans="1:11" x14ac:dyDescent="0.25">
      <c r="A73" s="33"/>
      <c r="J73"/>
      <c r="K73"/>
    </row>
    <row r="74" spans="1:11" x14ac:dyDescent="0.25">
      <c r="A74" s="33"/>
      <c r="J74"/>
      <c r="K74"/>
    </row>
    <row r="75" spans="1:11" x14ac:dyDescent="0.25">
      <c r="A75" s="33"/>
      <c r="J75"/>
      <c r="K75"/>
    </row>
    <row r="76" spans="1:11" x14ac:dyDescent="0.25">
      <c r="A76" s="33"/>
      <c r="J76"/>
      <c r="K76"/>
    </row>
    <row r="77" spans="1:11" x14ac:dyDescent="0.25">
      <c r="A77" s="33"/>
      <c r="J77"/>
      <c r="K77"/>
    </row>
    <row r="78" spans="1:11" x14ac:dyDescent="0.25">
      <c r="A78" s="33"/>
      <c r="J78"/>
      <c r="K78"/>
    </row>
    <row r="79" spans="1:11" x14ac:dyDescent="0.25">
      <c r="A79" s="33"/>
      <c r="J79"/>
      <c r="K79"/>
    </row>
    <row r="80" spans="1:11" x14ac:dyDescent="0.25">
      <c r="A80" s="33"/>
      <c r="J80"/>
      <c r="K80"/>
    </row>
    <row r="81" spans="1:11" x14ac:dyDescent="0.25">
      <c r="A81" s="33"/>
      <c r="J81"/>
      <c r="K81"/>
    </row>
    <row r="82" spans="1:11" x14ac:dyDescent="0.25">
      <c r="A82" s="33"/>
      <c r="J82"/>
      <c r="K82"/>
    </row>
    <row r="83" spans="1:11" x14ac:dyDescent="0.25">
      <c r="A83" s="33"/>
      <c r="J83"/>
      <c r="K83"/>
    </row>
    <row r="84" spans="1:11" x14ac:dyDescent="0.25">
      <c r="A84" s="33"/>
      <c r="J84"/>
      <c r="K84"/>
    </row>
    <row r="85" spans="1:11" x14ac:dyDescent="0.25">
      <c r="A85" s="33"/>
      <c r="J85"/>
      <c r="K85"/>
    </row>
    <row r="86" spans="1:11" x14ac:dyDescent="0.25">
      <c r="A86" s="33"/>
      <c r="J86"/>
      <c r="K86"/>
    </row>
    <row r="87" spans="1:11" x14ac:dyDescent="0.25">
      <c r="A87" s="33"/>
      <c r="J87"/>
      <c r="K87"/>
    </row>
    <row r="88" spans="1:11" x14ac:dyDescent="0.25">
      <c r="A88" s="33"/>
      <c r="J88"/>
      <c r="K88"/>
    </row>
    <row r="89" spans="1:11" x14ac:dyDescent="0.25">
      <c r="A89" s="33"/>
      <c r="J89"/>
      <c r="K89"/>
    </row>
    <row r="90" spans="1:11" x14ac:dyDescent="0.25">
      <c r="A90" s="33"/>
      <c r="J90"/>
      <c r="K90"/>
    </row>
    <row r="91" spans="1:11" x14ac:dyDescent="0.25">
      <c r="A91" s="33"/>
      <c r="J91"/>
      <c r="K91"/>
    </row>
    <row r="92" spans="1:11" x14ac:dyDescent="0.25">
      <c r="A92" s="33"/>
      <c r="J92"/>
      <c r="K92"/>
    </row>
    <row r="93" spans="1:11" x14ac:dyDescent="0.25">
      <c r="A93" s="33"/>
      <c r="J93"/>
      <c r="K93"/>
    </row>
    <row r="94" spans="1:11" x14ac:dyDescent="0.25">
      <c r="A94" s="33"/>
      <c r="J94"/>
      <c r="K94"/>
    </row>
    <row r="95" spans="1:11" x14ac:dyDescent="0.25">
      <c r="A95" s="33"/>
      <c r="J95"/>
      <c r="K95"/>
    </row>
    <row r="96" spans="1:11" x14ac:dyDescent="0.25">
      <c r="A96" s="33"/>
      <c r="J96"/>
      <c r="K96"/>
    </row>
    <row r="97" spans="1:11" x14ac:dyDescent="0.25">
      <c r="A97" s="33"/>
      <c r="J97"/>
      <c r="K97"/>
    </row>
    <row r="98" spans="1:11" x14ac:dyDescent="0.25">
      <c r="A98" s="33"/>
      <c r="J98"/>
      <c r="K98"/>
    </row>
    <row r="99" spans="1:11" x14ac:dyDescent="0.25">
      <c r="A99" s="33"/>
      <c r="J99"/>
      <c r="K99"/>
    </row>
    <row r="100" spans="1:11" x14ac:dyDescent="0.25">
      <c r="A100" s="33"/>
      <c r="J100"/>
      <c r="K100"/>
    </row>
    <row r="101" spans="1:11" x14ac:dyDescent="0.25">
      <c r="A101" s="33"/>
      <c r="J101"/>
      <c r="K101"/>
    </row>
    <row r="102" spans="1:11" x14ac:dyDescent="0.25">
      <c r="A102" s="33"/>
      <c r="J102"/>
      <c r="K102"/>
    </row>
    <row r="103" spans="1:11" x14ac:dyDescent="0.25">
      <c r="A103" s="33"/>
      <c r="J103"/>
      <c r="K103"/>
    </row>
    <row r="104" spans="1:11" x14ac:dyDescent="0.25">
      <c r="A104" s="33"/>
      <c r="J104"/>
      <c r="K104"/>
    </row>
    <row r="105" spans="1:11" x14ac:dyDescent="0.25">
      <c r="A105" s="33"/>
      <c r="J105"/>
      <c r="K105"/>
    </row>
    <row r="106" spans="1:11" x14ac:dyDescent="0.25">
      <c r="A106" s="33"/>
      <c r="J106"/>
      <c r="K106"/>
    </row>
    <row r="107" spans="1:11" x14ac:dyDescent="0.25">
      <c r="A107" s="33"/>
      <c r="J107"/>
      <c r="K107"/>
    </row>
    <row r="108" spans="1:11" x14ac:dyDescent="0.25">
      <c r="A108" s="33"/>
      <c r="J108"/>
      <c r="K108"/>
    </row>
    <row r="109" spans="1:11" x14ac:dyDescent="0.25">
      <c r="A109" s="33"/>
      <c r="J109"/>
      <c r="K109"/>
    </row>
    <row r="110" spans="1:11" x14ac:dyDescent="0.25">
      <c r="A110" s="33"/>
      <c r="J110"/>
      <c r="K110"/>
    </row>
    <row r="111" spans="1:11" x14ac:dyDescent="0.25">
      <c r="A111" s="33"/>
      <c r="J111"/>
      <c r="K111"/>
    </row>
    <row r="112" spans="1:11" x14ac:dyDescent="0.25">
      <c r="A112" s="33"/>
      <c r="J112"/>
      <c r="K112"/>
    </row>
    <row r="113" spans="1:11" x14ac:dyDescent="0.25">
      <c r="A113" s="33"/>
      <c r="J113"/>
      <c r="K113"/>
    </row>
    <row r="114" spans="1:11" x14ac:dyDescent="0.25">
      <c r="A114" s="33"/>
      <c r="J114"/>
      <c r="K114"/>
    </row>
    <row r="115" spans="1:11" x14ac:dyDescent="0.25">
      <c r="A115" s="33"/>
      <c r="J115"/>
      <c r="K115"/>
    </row>
    <row r="116" spans="1:11" x14ac:dyDescent="0.25">
      <c r="A116" s="33"/>
      <c r="J116"/>
      <c r="K116"/>
    </row>
    <row r="117" spans="1:11" x14ac:dyDescent="0.25">
      <c r="A117" s="33"/>
      <c r="J117"/>
      <c r="K117"/>
    </row>
    <row r="118" spans="1:11" x14ac:dyDescent="0.25">
      <c r="A118" s="33"/>
      <c r="J118"/>
      <c r="K118"/>
    </row>
    <row r="119" spans="1:11" x14ac:dyDescent="0.25">
      <c r="A119" s="33"/>
      <c r="J119"/>
      <c r="K119"/>
    </row>
    <row r="120" spans="1:11" x14ac:dyDescent="0.25">
      <c r="A120" s="33"/>
      <c r="J120"/>
      <c r="K120"/>
    </row>
    <row r="121" spans="1:11" x14ac:dyDescent="0.25">
      <c r="A121" s="33"/>
      <c r="J121"/>
      <c r="K121"/>
    </row>
    <row r="122" spans="1:11" x14ac:dyDescent="0.25">
      <c r="A122" s="33"/>
      <c r="J122"/>
      <c r="K122"/>
    </row>
    <row r="123" spans="1:11" x14ac:dyDescent="0.25">
      <c r="A123" s="33"/>
      <c r="J123"/>
      <c r="K123"/>
    </row>
    <row r="124" spans="1:11" x14ac:dyDescent="0.25">
      <c r="A124" s="33"/>
      <c r="J124"/>
      <c r="K124"/>
    </row>
    <row r="125" spans="1:11" x14ac:dyDescent="0.25">
      <c r="A125" s="33"/>
      <c r="J125"/>
      <c r="K125"/>
    </row>
    <row r="126" spans="1:11" x14ac:dyDescent="0.25">
      <c r="A126" s="33"/>
      <c r="J126"/>
      <c r="K126"/>
    </row>
    <row r="127" spans="1:11" x14ac:dyDescent="0.25">
      <c r="A127" s="33"/>
      <c r="J127"/>
      <c r="K127"/>
    </row>
    <row r="128" spans="1:11" x14ac:dyDescent="0.25">
      <c r="A128" s="33"/>
      <c r="J128"/>
      <c r="K128"/>
    </row>
    <row r="129" spans="1:11" x14ac:dyDescent="0.25">
      <c r="A129" s="33"/>
      <c r="J129"/>
      <c r="K129"/>
    </row>
    <row r="130" spans="1:11" x14ac:dyDescent="0.25">
      <c r="A130" s="33"/>
      <c r="J130"/>
      <c r="K130"/>
    </row>
    <row r="131" spans="1:11" x14ac:dyDescent="0.25">
      <c r="A131" s="33"/>
      <c r="J131"/>
      <c r="K131"/>
    </row>
    <row r="132" spans="1:11" x14ac:dyDescent="0.25">
      <c r="A132" s="33"/>
      <c r="J132"/>
      <c r="K132"/>
    </row>
    <row r="133" spans="1:11" x14ac:dyDescent="0.25">
      <c r="A133" s="33"/>
      <c r="J133"/>
      <c r="K133"/>
    </row>
    <row r="134" spans="1:11" x14ac:dyDescent="0.25">
      <c r="A134" s="33"/>
      <c r="J134"/>
      <c r="K134"/>
    </row>
    <row r="135" spans="1:11" x14ac:dyDescent="0.25">
      <c r="A135" s="33"/>
      <c r="J135"/>
      <c r="K135"/>
    </row>
    <row r="136" spans="1:11" x14ac:dyDescent="0.25">
      <c r="A136" s="33"/>
      <c r="J136"/>
      <c r="K136"/>
    </row>
    <row r="137" spans="1:11" x14ac:dyDescent="0.25">
      <c r="A137" s="33"/>
      <c r="J137"/>
      <c r="K137"/>
    </row>
    <row r="138" spans="1:11" x14ac:dyDescent="0.25">
      <c r="A138" s="33"/>
      <c r="J138"/>
      <c r="K138"/>
    </row>
    <row r="139" spans="1:11" x14ac:dyDescent="0.25">
      <c r="A139" s="33"/>
      <c r="J139"/>
      <c r="K139"/>
    </row>
    <row r="140" spans="1:11" x14ac:dyDescent="0.25">
      <c r="A140" s="33"/>
      <c r="J140"/>
      <c r="K140"/>
    </row>
    <row r="141" spans="1:11" x14ac:dyDescent="0.25">
      <c r="A141" s="33"/>
      <c r="J141"/>
      <c r="K141"/>
    </row>
    <row r="142" spans="1:11" x14ac:dyDescent="0.25">
      <c r="A142" s="33"/>
      <c r="J142"/>
      <c r="K142"/>
    </row>
    <row r="143" spans="1:11" x14ac:dyDescent="0.25">
      <c r="A143" s="33"/>
      <c r="J143"/>
      <c r="K143"/>
    </row>
    <row r="144" spans="1:11" x14ac:dyDescent="0.25">
      <c r="A144" s="33"/>
      <c r="J144"/>
      <c r="K144"/>
    </row>
    <row r="145" spans="1:11" x14ac:dyDescent="0.25">
      <c r="A145" s="33"/>
      <c r="J145"/>
      <c r="K145"/>
    </row>
    <row r="146" spans="1:11" x14ac:dyDescent="0.25">
      <c r="A146" s="33"/>
      <c r="J146"/>
      <c r="K146"/>
    </row>
    <row r="147" spans="1:11" x14ac:dyDescent="0.25">
      <c r="A147" s="33"/>
      <c r="J147"/>
      <c r="K147"/>
    </row>
    <row r="148" spans="1:11" x14ac:dyDescent="0.25">
      <c r="A148" s="33"/>
      <c r="J148"/>
      <c r="K148"/>
    </row>
    <row r="149" spans="1:11" x14ac:dyDescent="0.25">
      <c r="A149" s="33"/>
      <c r="J149"/>
      <c r="K149"/>
    </row>
    <row r="150" spans="1:11" x14ac:dyDescent="0.25">
      <c r="A150" s="33"/>
      <c r="J150"/>
      <c r="K150"/>
    </row>
    <row r="151" spans="1:11" x14ac:dyDescent="0.25">
      <c r="A151" s="33"/>
      <c r="J151"/>
      <c r="K151"/>
    </row>
    <row r="152" spans="1:11" x14ac:dyDescent="0.25">
      <c r="A152" s="33"/>
      <c r="J152"/>
      <c r="K152"/>
    </row>
    <row r="153" spans="1:11" x14ac:dyDescent="0.25">
      <c r="A153" s="33"/>
      <c r="J153"/>
      <c r="K153"/>
    </row>
    <row r="154" spans="1:11" x14ac:dyDescent="0.25">
      <c r="A154" s="33"/>
      <c r="J154"/>
      <c r="K154"/>
    </row>
    <row r="155" spans="1:11" x14ac:dyDescent="0.25">
      <c r="A155" s="33"/>
      <c r="J155"/>
      <c r="K155"/>
    </row>
    <row r="156" spans="1:11" x14ac:dyDescent="0.25">
      <c r="A156" s="33"/>
      <c r="J156"/>
      <c r="K156"/>
    </row>
    <row r="157" spans="1:11" x14ac:dyDescent="0.25">
      <c r="A157" s="33"/>
      <c r="J157"/>
      <c r="K157"/>
    </row>
    <row r="158" spans="1:11" x14ac:dyDescent="0.25">
      <c r="A158" s="33"/>
      <c r="J158"/>
      <c r="K158"/>
    </row>
    <row r="159" spans="1:11" x14ac:dyDescent="0.25">
      <c r="A159" s="33"/>
      <c r="J159"/>
      <c r="K159"/>
    </row>
    <row r="160" spans="1:11" x14ac:dyDescent="0.25">
      <c r="A160" s="33"/>
      <c r="J160"/>
      <c r="K160"/>
    </row>
    <row r="161" spans="1:11" x14ac:dyDescent="0.25">
      <c r="A161" s="33"/>
      <c r="J161"/>
      <c r="K161"/>
    </row>
    <row r="162" spans="1:11" x14ac:dyDescent="0.25">
      <c r="A162" s="33"/>
      <c r="J162"/>
      <c r="K162"/>
    </row>
    <row r="163" spans="1:11" x14ac:dyDescent="0.25">
      <c r="A163" s="33"/>
      <c r="J163"/>
      <c r="K163"/>
    </row>
    <row r="164" spans="1:11" x14ac:dyDescent="0.25">
      <c r="A164" s="33"/>
      <c r="J164"/>
      <c r="K164"/>
    </row>
    <row r="165" spans="1:11" x14ac:dyDescent="0.25">
      <c r="A165" s="33"/>
      <c r="J165"/>
      <c r="K165"/>
    </row>
    <row r="166" spans="1:11" x14ac:dyDescent="0.25">
      <c r="A166" s="33"/>
      <c r="J166"/>
      <c r="K166"/>
    </row>
    <row r="167" spans="1:11" x14ac:dyDescent="0.25">
      <c r="A167" s="33"/>
      <c r="J167"/>
      <c r="K167"/>
    </row>
    <row r="168" spans="1:11" x14ac:dyDescent="0.25">
      <c r="A168" s="33"/>
      <c r="J168"/>
      <c r="K168"/>
    </row>
    <row r="169" spans="1:11" x14ac:dyDescent="0.25">
      <c r="A169" s="33"/>
      <c r="J169"/>
      <c r="K169"/>
    </row>
    <row r="170" spans="1:11" x14ac:dyDescent="0.25">
      <c r="A170" s="33"/>
      <c r="J170"/>
      <c r="K170"/>
    </row>
    <row r="171" spans="1:11" x14ac:dyDescent="0.25">
      <c r="A171" s="33"/>
      <c r="J171"/>
      <c r="K171"/>
    </row>
    <row r="172" spans="1:11" x14ac:dyDescent="0.25">
      <c r="A172" s="33"/>
      <c r="J172"/>
      <c r="K172"/>
    </row>
    <row r="173" spans="1:11" x14ac:dyDescent="0.25">
      <c r="A173" s="33"/>
      <c r="J173"/>
      <c r="K173"/>
    </row>
    <row r="174" spans="1:11" x14ac:dyDescent="0.25">
      <c r="A174" s="33"/>
      <c r="J174"/>
      <c r="K174"/>
    </row>
    <row r="175" spans="1:11" x14ac:dyDescent="0.25">
      <c r="A175" s="33"/>
      <c r="J175"/>
      <c r="K175"/>
    </row>
    <row r="176" spans="1:11" x14ac:dyDescent="0.25">
      <c r="A176" s="33"/>
      <c r="J176"/>
      <c r="K176"/>
    </row>
    <row r="177" spans="1:11" x14ac:dyDescent="0.25">
      <c r="A177" s="33"/>
      <c r="J177"/>
      <c r="K177"/>
    </row>
    <row r="178" spans="1:11" x14ac:dyDescent="0.25">
      <c r="A178" s="33"/>
      <c r="J178"/>
      <c r="K178"/>
    </row>
    <row r="179" spans="1:11" x14ac:dyDescent="0.25">
      <c r="A179" s="33"/>
      <c r="J179"/>
      <c r="K179"/>
    </row>
    <row r="180" spans="1:11" x14ac:dyDescent="0.25">
      <c r="A180" s="33"/>
      <c r="J180"/>
      <c r="K180"/>
    </row>
    <row r="181" spans="1:11" x14ac:dyDescent="0.25">
      <c r="A181" s="33"/>
      <c r="J181"/>
      <c r="K181"/>
    </row>
    <row r="182" spans="1:11" x14ac:dyDescent="0.25">
      <c r="A182" s="33"/>
      <c r="J182"/>
      <c r="K182"/>
    </row>
    <row r="183" spans="1:11" x14ac:dyDescent="0.25">
      <c r="A183" s="33"/>
      <c r="J183"/>
      <c r="K183"/>
    </row>
    <row r="184" spans="1:11" x14ac:dyDescent="0.25">
      <c r="A184" s="33"/>
      <c r="J184"/>
      <c r="K184"/>
    </row>
    <row r="185" spans="1:11" x14ac:dyDescent="0.25">
      <c r="A185" s="33"/>
      <c r="J185"/>
      <c r="K185"/>
    </row>
    <row r="186" spans="1:11" x14ac:dyDescent="0.25">
      <c r="A186" s="33"/>
      <c r="J186"/>
      <c r="K186"/>
    </row>
    <row r="187" spans="1:11" x14ac:dyDescent="0.25">
      <c r="A187" s="33"/>
      <c r="J187"/>
      <c r="K187"/>
    </row>
    <row r="188" spans="1:11" x14ac:dyDescent="0.25">
      <c r="A188" s="33"/>
      <c r="J188"/>
      <c r="K188"/>
    </row>
    <row r="189" spans="1:11" x14ac:dyDescent="0.25">
      <c r="A189" s="33"/>
      <c r="J189"/>
      <c r="K189"/>
    </row>
    <row r="190" spans="1:11" x14ac:dyDescent="0.25">
      <c r="A190" s="33"/>
      <c r="J190"/>
      <c r="K190"/>
    </row>
    <row r="191" spans="1:11" x14ac:dyDescent="0.25">
      <c r="A191" s="33"/>
      <c r="J191"/>
      <c r="K191"/>
    </row>
    <row r="192" spans="1:11" x14ac:dyDescent="0.25">
      <c r="A192" s="33"/>
      <c r="J192"/>
      <c r="K192"/>
    </row>
    <row r="193" spans="1:11" x14ac:dyDescent="0.25">
      <c r="A193" s="33"/>
      <c r="J193"/>
      <c r="K193"/>
    </row>
    <row r="194" spans="1:11" x14ac:dyDescent="0.25">
      <c r="A194" s="33"/>
      <c r="J194"/>
      <c r="K194"/>
    </row>
    <row r="195" spans="1:11" x14ac:dyDescent="0.25">
      <c r="A195" s="33"/>
      <c r="J195"/>
      <c r="K195"/>
    </row>
    <row r="196" spans="1:11" x14ac:dyDescent="0.25">
      <c r="A196" s="33"/>
      <c r="J196"/>
      <c r="K196"/>
    </row>
    <row r="197" spans="1:11" x14ac:dyDescent="0.25">
      <c r="A197" s="33"/>
      <c r="J197"/>
      <c r="K197"/>
    </row>
    <row r="198" spans="1:11" x14ac:dyDescent="0.25">
      <c r="A198" s="33"/>
      <c r="J198"/>
      <c r="K198"/>
    </row>
    <row r="199" spans="1:11" x14ac:dyDescent="0.25">
      <c r="A199" s="33"/>
      <c r="J199"/>
      <c r="K199"/>
    </row>
    <row r="200" spans="1:11" x14ac:dyDescent="0.25">
      <c r="A200" s="33"/>
      <c r="J200"/>
      <c r="K200"/>
    </row>
    <row r="201" spans="1:11" x14ac:dyDescent="0.25">
      <c r="A201" s="33"/>
      <c r="J201"/>
      <c r="K201"/>
    </row>
    <row r="202" spans="1:11" x14ac:dyDescent="0.25">
      <c r="A202" s="33"/>
      <c r="J202"/>
      <c r="K202"/>
    </row>
    <row r="203" spans="1:11" x14ac:dyDescent="0.25">
      <c r="A203" s="33"/>
      <c r="J203"/>
      <c r="K203"/>
    </row>
    <row r="204" spans="1:11" x14ac:dyDescent="0.25">
      <c r="A204" s="33"/>
      <c r="J204"/>
      <c r="K204"/>
    </row>
    <row r="205" spans="1:11" x14ac:dyDescent="0.25">
      <c r="A205" s="33"/>
      <c r="J205"/>
      <c r="K205"/>
    </row>
    <row r="206" spans="1:11" x14ac:dyDescent="0.25">
      <c r="A206" s="33"/>
      <c r="J206"/>
      <c r="K206"/>
    </row>
    <row r="207" spans="1:11" x14ac:dyDescent="0.25">
      <c r="A207" s="33"/>
      <c r="J207"/>
      <c r="K207"/>
    </row>
    <row r="208" spans="1:11" x14ac:dyDescent="0.25">
      <c r="A208" s="33"/>
      <c r="J208"/>
      <c r="K208"/>
    </row>
    <row r="209" spans="1:11" x14ac:dyDescent="0.25">
      <c r="A209" s="33"/>
      <c r="J209"/>
      <c r="K209"/>
    </row>
    <row r="210" spans="1:11" x14ac:dyDescent="0.25">
      <c r="A210" s="33"/>
      <c r="J210"/>
      <c r="K210"/>
    </row>
    <row r="211" spans="1:11" x14ac:dyDescent="0.25">
      <c r="A211" s="33"/>
      <c r="J211"/>
      <c r="K211"/>
    </row>
    <row r="212" spans="1:11" x14ac:dyDescent="0.25">
      <c r="A212" s="33"/>
      <c r="J212"/>
      <c r="K212"/>
    </row>
    <row r="213" spans="1:11" x14ac:dyDescent="0.25">
      <c r="A213" s="33"/>
      <c r="J213"/>
      <c r="K213"/>
    </row>
    <row r="214" spans="1:11" x14ac:dyDescent="0.25">
      <c r="A214" s="33"/>
      <c r="J214"/>
      <c r="K214"/>
    </row>
    <row r="215" spans="1:11" x14ac:dyDescent="0.25">
      <c r="A215" s="33"/>
      <c r="J215"/>
      <c r="K215"/>
    </row>
    <row r="216" spans="1:11" x14ac:dyDescent="0.25">
      <c r="A216" s="33"/>
      <c r="J216"/>
      <c r="K216"/>
    </row>
    <row r="217" spans="1:11" x14ac:dyDescent="0.25">
      <c r="A217" s="33"/>
      <c r="J217"/>
      <c r="K217"/>
    </row>
    <row r="218" spans="1:11" x14ac:dyDescent="0.25">
      <c r="A218" s="33"/>
      <c r="J218"/>
      <c r="K218"/>
    </row>
    <row r="219" spans="1:11" x14ac:dyDescent="0.25">
      <c r="A219" s="33"/>
      <c r="J219"/>
      <c r="K219"/>
    </row>
    <row r="220" spans="1:11" x14ac:dyDescent="0.25">
      <c r="A220" s="33"/>
      <c r="J220"/>
      <c r="K220"/>
    </row>
  </sheetData>
  <phoneticPr fontId="10" type="noConversion"/>
  <pageMargins left="0.7" right="0.7" top="0.75" bottom="0.75" header="0.3" footer="0.3"/>
  <pageSetup paperSize="9" scale="44" orientation="landscape" r:id="rId1"/>
  <headerFooter>
    <oddHeader xml:space="preserve">&amp;L
&amp;C&amp;"-,Bold"&amp;24&amp;K05-000REALBROTHERS022 CONTRIBUTION LIST YEAR 2024&amp;"-,Regular"
&amp;11
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200025</xdr:colOff>
                    <xdr:row>1</xdr:row>
                    <xdr:rowOff>0</xdr:rowOff>
                  </from>
                  <to>
                    <xdr:col>2</xdr:col>
                    <xdr:colOff>600075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200025</xdr:colOff>
                    <xdr:row>1</xdr:row>
                    <xdr:rowOff>152400</xdr:rowOff>
                  </from>
                  <to>
                    <xdr:col>2</xdr:col>
                    <xdr:colOff>600075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</xdr:col>
                    <xdr:colOff>200025</xdr:colOff>
                    <xdr:row>2</xdr:row>
                    <xdr:rowOff>152400</xdr:rowOff>
                  </from>
                  <to>
                    <xdr:col>2</xdr:col>
                    <xdr:colOff>600075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</xdr:col>
                    <xdr:colOff>200025</xdr:colOff>
                    <xdr:row>3</xdr:row>
                    <xdr:rowOff>152400</xdr:rowOff>
                  </from>
                  <to>
                    <xdr:col>2</xdr:col>
                    <xdr:colOff>600075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</xdr:col>
                    <xdr:colOff>200025</xdr:colOff>
                    <xdr:row>4</xdr:row>
                    <xdr:rowOff>152400</xdr:rowOff>
                  </from>
                  <to>
                    <xdr:col>2</xdr:col>
                    <xdr:colOff>600075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2</xdr:col>
                    <xdr:colOff>200025</xdr:colOff>
                    <xdr:row>5</xdr:row>
                    <xdr:rowOff>152400</xdr:rowOff>
                  </from>
                  <to>
                    <xdr:col>2</xdr:col>
                    <xdr:colOff>600075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2</xdr:col>
                    <xdr:colOff>200025</xdr:colOff>
                    <xdr:row>6</xdr:row>
                    <xdr:rowOff>152400</xdr:rowOff>
                  </from>
                  <to>
                    <xdr:col>2</xdr:col>
                    <xdr:colOff>600075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</xdr:col>
                    <xdr:colOff>200025</xdr:colOff>
                    <xdr:row>7</xdr:row>
                    <xdr:rowOff>152400</xdr:rowOff>
                  </from>
                  <to>
                    <xdr:col>2</xdr:col>
                    <xdr:colOff>600075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2</xdr:col>
                    <xdr:colOff>200025</xdr:colOff>
                    <xdr:row>8</xdr:row>
                    <xdr:rowOff>152400</xdr:rowOff>
                  </from>
                  <to>
                    <xdr:col>2</xdr:col>
                    <xdr:colOff>600075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2</xdr:col>
                    <xdr:colOff>200025</xdr:colOff>
                    <xdr:row>9</xdr:row>
                    <xdr:rowOff>152400</xdr:rowOff>
                  </from>
                  <to>
                    <xdr:col>2</xdr:col>
                    <xdr:colOff>600075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2</xdr:col>
                    <xdr:colOff>200025</xdr:colOff>
                    <xdr:row>10</xdr:row>
                    <xdr:rowOff>152400</xdr:rowOff>
                  </from>
                  <to>
                    <xdr:col>2</xdr:col>
                    <xdr:colOff>600075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2</xdr:col>
                    <xdr:colOff>200025</xdr:colOff>
                    <xdr:row>11</xdr:row>
                    <xdr:rowOff>152400</xdr:rowOff>
                  </from>
                  <to>
                    <xdr:col>2</xdr:col>
                    <xdr:colOff>600075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2</xdr:col>
                    <xdr:colOff>200025</xdr:colOff>
                    <xdr:row>12</xdr:row>
                    <xdr:rowOff>152400</xdr:rowOff>
                  </from>
                  <to>
                    <xdr:col>2</xdr:col>
                    <xdr:colOff>600075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2</xdr:col>
                    <xdr:colOff>200025</xdr:colOff>
                    <xdr:row>13</xdr:row>
                    <xdr:rowOff>152400</xdr:rowOff>
                  </from>
                  <to>
                    <xdr:col>2</xdr:col>
                    <xdr:colOff>600075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2</xdr:col>
                    <xdr:colOff>200025</xdr:colOff>
                    <xdr:row>14</xdr:row>
                    <xdr:rowOff>152400</xdr:rowOff>
                  </from>
                  <to>
                    <xdr:col>2</xdr:col>
                    <xdr:colOff>600075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2</xdr:col>
                    <xdr:colOff>200025</xdr:colOff>
                    <xdr:row>15</xdr:row>
                    <xdr:rowOff>152400</xdr:rowOff>
                  </from>
                  <to>
                    <xdr:col>2</xdr:col>
                    <xdr:colOff>600075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2</xdr:col>
                    <xdr:colOff>200025</xdr:colOff>
                    <xdr:row>16</xdr:row>
                    <xdr:rowOff>152400</xdr:rowOff>
                  </from>
                  <to>
                    <xdr:col>2</xdr:col>
                    <xdr:colOff>600075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2</xdr:col>
                    <xdr:colOff>200025</xdr:colOff>
                    <xdr:row>17</xdr:row>
                    <xdr:rowOff>152400</xdr:rowOff>
                  </from>
                  <to>
                    <xdr:col>2</xdr:col>
                    <xdr:colOff>600075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2</xdr:col>
                    <xdr:colOff>200025</xdr:colOff>
                    <xdr:row>18</xdr:row>
                    <xdr:rowOff>152400</xdr:rowOff>
                  </from>
                  <to>
                    <xdr:col>2</xdr:col>
                    <xdr:colOff>600075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2</xdr:col>
                    <xdr:colOff>200025</xdr:colOff>
                    <xdr:row>19</xdr:row>
                    <xdr:rowOff>152400</xdr:rowOff>
                  </from>
                  <to>
                    <xdr:col>2</xdr:col>
                    <xdr:colOff>600075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2</xdr:col>
                    <xdr:colOff>200025</xdr:colOff>
                    <xdr:row>20</xdr:row>
                    <xdr:rowOff>152400</xdr:rowOff>
                  </from>
                  <to>
                    <xdr:col>2</xdr:col>
                    <xdr:colOff>600075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2</xdr:col>
                    <xdr:colOff>200025</xdr:colOff>
                    <xdr:row>21</xdr:row>
                    <xdr:rowOff>152400</xdr:rowOff>
                  </from>
                  <to>
                    <xdr:col>2</xdr:col>
                    <xdr:colOff>600075</xdr:colOff>
                    <xdr:row>23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EE39-E10D-4914-97E6-C404F7B0AD7A}">
  <sheetPr>
    <pageSetUpPr fitToPage="1"/>
  </sheetPr>
  <dimension ref="A1:M26"/>
  <sheetViews>
    <sheetView tabSelected="1" zoomScale="78" zoomScaleNormal="78" workbookViewId="0">
      <pane xSplit="1" topLeftCell="B1" activePane="topRight" state="frozen"/>
      <selection pane="topRight" activeCell="L10" sqref="L10"/>
    </sheetView>
  </sheetViews>
  <sheetFormatPr defaultRowHeight="15" x14ac:dyDescent="0.25"/>
  <cols>
    <col min="1" max="1" width="23" bestFit="1" customWidth="1"/>
    <col min="2" max="2" width="10.5703125" customWidth="1"/>
    <col min="3" max="3" width="10.5703125" bestFit="1" customWidth="1"/>
    <col min="4" max="6" width="10.5703125" customWidth="1"/>
    <col min="7" max="7" width="9.7109375" style="70" bestFit="1" customWidth="1"/>
    <col min="8" max="8" width="14.5703125" bestFit="1" customWidth="1"/>
    <col min="9" max="9" width="14.42578125" bestFit="1" customWidth="1"/>
    <col min="10" max="10" width="17" bestFit="1" customWidth="1"/>
    <col min="11" max="11" width="19.7109375" customWidth="1"/>
    <col min="12" max="12" width="15" customWidth="1"/>
    <col min="13" max="13" width="14.5703125" customWidth="1"/>
  </cols>
  <sheetData>
    <row r="1" spans="1:13" s="54" customFormat="1" ht="36" customHeight="1" thickBot="1" x14ac:dyDescent="0.6">
      <c r="A1" s="53"/>
      <c r="B1" s="53"/>
      <c r="C1" s="56">
        <v>2026</v>
      </c>
      <c r="D1" s="56">
        <v>2026</v>
      </c>
      <c r="E1" s="56"/>
      <c r="F1" s="56"/>
      <c r="G1" s="63"/>
      <c r="H1" s="71">
        <v>2025</v>
      </c>
      <c r="I1" s="71"/>
      <c r="K1" s="75" t="s">
        <v>54</v>
      </c>
      <c r="L1" s="76"/>
      <c r="M1" s="77"/>
    </row>
    <row r="2" spans="1:13" x14ac:dyDescent="0.25">
      <c r="A2" s="50" t="s">
        <v>0</v>
      </c>
      <c r="B2" s="51" t="s">
        <v>45</v>
      </c>
      <c r="C2" s="51" t="s">
        <v>24</v>
      </c>
      <c r="D2" s="51" t="s">
        <v>25</v>
      </c>
      <c r="E2" s="51" t="s">
        <v>52</v>
      </c>
      <c r="F2" s="51" t="s">
        <v>53</v>
      </c>
      <c r="G2" s="64" t="s">
        <v>28</v>
      </c>
      <c r="H2" s="52" t="s">
        <v>47</v>
      </c>
      <c r="I2" s="52" t="s">
        <v>48</v>
      </c>
      <c r="J2" s="72" t="s">
        <v>51</v>
      </c>
      <c r="K2" s="42" t="s">
        <v>56</v>
      </c>
      <c r="L2" s="42" t="s">
        <v>55</v>
      </c>
      <c r="M2" s="42" t="s">
        <v>44</v>
      </c>
    </row>
    <row r="3" spans="1:13" x14ac:dyDescent="0.25">
      <c r="A3" s="7" t="s">
        <v>2</v>
      </c>
      <c r="B3" s="8">
        <v>200</v>
      </c>
      <c r="C3" s="8"/>
      <c r="D3" s="8">
        <v>500</v>
      </c>
      <c r="E3" s="8">
        <v>200</v>
      </c>
      <c r="F3" s="57">
        <v>200</v>
      </c>
      <c r="G3" s="19">
        <v>200</v>
      </c>
      <c r="H3" s="44">
        <v>7500</v>
      </c>
      <c r="I3" s="44">
        <v>7500</v>
      </c>
      <c r="J3" s="73">
        <v>4000</v>
      </c>
      <c r="K3" s="44">
        <v>0</v>
      </c>
      <c r="L3" s="1"/>
      <c r="M3" s="74">
        <f>K3+L3</f>
        <v>0</v>
      </c>
    </row>
    <row r="4" spans="1:13" x14ac:dyDescent="0.25">
      <c r="A4" s="7" t="s">
        <v>3</v>
      </c>
      <c r="B4" s="8">
        <v>200</v>
      </c>
      <c r="C4" s="8">
        <v>200</v>
      </c>
      <c r="D4" s="8">
        <v>200</v>
      </c>
      <c r="E4" s="8">
        <v>400</v>
      </c>
      <c r="F4" s="57">
        <v>400</v>
      </c>
      <c r="G4" s="19">
        <v>200</v>
      </c>
      <c r="H4" s="44">
        <v>7500</v>
      </c>
      <c r="I4" s="44">
        <v>7500</v>
      </c>
      <c r="J4" s="73">
        <v>4300</v>
      </c>
      <c r="K4" s="44">
        <v>0</v>
      </c>
      <c r="L4" s="1"/>
      <c r="M4" s="74">
        <f t="shared" ref="M4:M24" si="0">K4+L4</f>
        <v>0</v>
      </c>
    </row>
    <row r="5" spans="1:13" x14ac:dyDescent="0.25">
      <c r="A5" s="7" t="s">
        <v>4</v>
      </c>
      <c r="B5" s="8">
        <v>200</v>
      </c>
      <c r="C5" s="8">
        <v>200</v>
      </c>
      <c r="D5" s="8">
        <v>200</v>
      </c>
      <c r="E5" s="10">
        <v>250</v>
      </c>
      <c r="F5" s="58">
        <v>250</v>
      </c>
      <c r="G5" s="65">
        <v>200</v>
      </c>
      <c r="H5" s="44">
        <f>6000+1200+300</f>
        <v>7500</v>
      </c>
      <c r="I5" s="44">
        <f>2000+2000+3500</f>
        <v>7500</v>
      </c>
      <c r="J5" s="73">
        <v>4000</v>
      </c>
      <c r="K5" s="44">
        <v>0</v>
      </c>
      <c r="L5" s="44">
        <v>0</v>
      </c>
      <c r="M5" s="74">
        <f t="shared" si="0"/>
        <v>0</v>
      </c>
    </row>
    <row r="6" spans="1:13" s="43" customFormat="1" ht="14.25" customHeight="1" x14ac:dyDescent="0.25">
      <c r="A6" s="7" t="s">
        <v>5</v>
      </c>
      <c r="B6" s="8">
        <v>200</v>
      </c>
      <c r="C6" s="8">
        <v>200</v>
      </c>
      <c r="D6" s="8"/>
      <c r="E6" s="8"/>
      <c r="F6" s="57"/>
      <c r="G6" s="66">
        <v>200</v>
      </c>
      <c r="H6" s="44">
        <v>1100</v>
      </c>
      <c r="I6" s="44">
        <v>0</v>
      </c>
      <c r="J6" s="73">
        <v>0</v>
      </c>
      <c r="K6" s="44">
        <v>2700</v>
      </c>
      <c r="L6" s="44">
        <v>13900</v>
      </c>
      <c r="M6" s="74">
        <f t="shared" si="0"/>
        <v>16600</v>
      </c>
    </row>
    <row r="7" spans="1:13" x14ac:dyDescent="0.25">
      <c r="A7" s="45" t="s">
        <v>6</v>
      </c>
      <c r="B7" s="8">
        <v>200</v>
      </c>
      <c r="C7" s="8"/>
      <c r="D7" s="8"/>
      <c r="E7" s="8">
        <v>200</v>
      </c>
      <c r="F7" s="57">
        <v>200</v>
      </c>
      <c r="G7" s="19"/>
      <c r="H7" s="44">
        <f>5000-3500+1200</f>
        <v>2700</v>
      </c>
      <c r="I7" s="44">
        <v>0</v>
      </c>
      <c r="J7" s="73">
        <v>0</v>
      </c>
      <c r="K7" s="44">
        <v>1500</v>
      </c>
      <c r="L7" s="44">
        <v>12300</v>
      </c>
      <c r="M7" s="74">
        <f t="shared" si="0"/>
        <v>13800</v>
      </c>
    </row>
    <row r="8" spans="1:13" s="46" customFormat="1" x14ac:dyDescent="0.25">
      <c r="A8" s="7" t="s">
        <v>7</v>
      </c>
      <c r="B8" s="10">
        <v>700</v>
      </c>
      <c r="C8" s="10"/>
      <c r="D8" s="10"/>
      <c r="E8" s="10">
        <v>250</v>
      </c>
      <c r="F8" s="58"/>
      <c r="G8" s="67"/>
      <c r="H8" s="44">
        <f>5000+1000+1500</f>
        <v>7500</v>
      </c>
      <c r="I8" s="44">
        <v>0</v>
      </c>
      <c r="J8" s="73">
        <v>0</v>
      </c>
      <c r="K8" s="44">
        <v>0</v>
      </c>
      <c r="L8" s="44">
        <v>0</v>
      </c>
      <c r="M8" s="74">
        <f t="shared" si="0"/>
        <v>0</v>
      </c>
    </row>
    <row r="9" spans="1:13" x14ac:dyDescent="0.25">
      <c r="A9" s="7" t="s">
        <v>10</v>
      </c>
      <c r="B9" s="8">
        <v>200</v>
      </c>
      <c r="C9" s="8">
        <v>200</v>
      </c>
      <c r="D9" s="8">
        <v>200</v>
      </c>
      <c r="E9" s="8">
        <v>500</v>
      </c>
      <c r="F9" s="57">
        <v>200</v>
      </c>
      <c r="G9" s="19">
        <v>400</v>
      </c>
      <c r="H9" s="44">
        <f>1300+1200+5000</f>
        <v>7500</v>
      </c>
      <c r="I9" s="44">
        <v>7500</v>
      </c>
      <c r="J9" s="73">
        <v>3000</v>
      </c>
      <c r="K9" s="44">
        <v>1700</v>
      </c>
      <c r="L9" s="44">
        <v>7500</v>
      </c>
      <c r="M9" s="74">
        <f>K9+L9</f>
        <v>9200</v>
      </c>
    </row>
    <row r="10" spans="1:13" x14ac:dyDescent="0.25">
      <c r="A10" s="7" t="s">
        <v>11</v>
      </c>
      <c r="B10" s="10">
        <v>700</v>
      </c>
      <c r="C10" s="22">
        <v>200</v>
      </c>
      <c r="D10" s="22">
        <v>200</v>
      </c>
      <c r="E10" s="22">
        <v>400</v>
      </c>
      <c r="F10" s="59">
        <v>200</v>
      </c>
      <c r="G10" s="66">
        <v>200</v>
      </c>
      <c r="H10" s="44">
        <v>7500</v>
      </c>
      <c r="I10" s="44">
        <v>7500</v>
      </c>
      <c r="J10" s="73">
        <v>200</v>
      </c>
      <c r="K10" s="44">
        <v>0</v>
      </c>
      <c r="L10" s="44">
        <v>0</v>
      </c>
      <c r="M10" s="74">
        <f t="shared" si="0"/>
        <v>0</v>
      </c>
    </row>
    <row r="11" spans="1:13" x14ac:dyDescent="0.25">
      <c r="A11" s="7" t="s">
        <v>12</v>
      </c>
      <c r="B11" s="8">
        <v>200</v>
      </c>
      <c r="C11" s="8">
        <v>200</v>
      </c>
      <c r="D11" s="8"/>
      <c r="E11" s="10">
        <v>700</v>
      </c>
      <c r="F11" s="60">
        <v>200</v>
      </c>
      <c r="G11" s="65">
        <v>400</v>
      </c>
      <c r="H11" s="44">
        <v>7500</v>
      </c>
      <c r="I11" s="44">
        <v>2000</v>
      </c>
      <c r="J11" s="73">
        <v>0</v>
      </c>
      <c r="K11" s="44">
        <v>0</v>
      </c>
      <c r="L11" s="44">
        <v>5500</v>
      </c>
      <c r="M11" s="74">
        <f t="shared" si="0"/>
        <v>5500</v>
      </c>
    </row>
    <row r="12" spans="1:13" s="49" customFormat="1" x14ac:dyDescent="0.25">
      <c r="A12" s="7" t="s">
        <v>13</v>
      </c>
      <c r="B12" s="8">
        <v>200</v>
      </c>
      <c r="C12" s="8">
        <v>200</v>
      </c>
      <c r="D12" s="8">
        <v>400</v>
      </c>
      <c r="E12" s="8">
        <v>400</v>
      </c>
      <c r="F12" s="57">
        <v>400</v>
      </c>
      <c r="G12" s="19">
        <v>400</v>
      </c>
      <c r="H12" s="44">
        <f>6900+600</f>
        <v>7500</v>
      </c>
      <c r="I12" s="44">
        <f>4000+1600</f>
        <v>5600</v>
      </c>
      <c r="J12" s="73">
        <v>0</v>
      </c>
      <c r="K12" s="44">
        <v>0</v>
      </c>
      <c r="L12" s="44">
        <v>1900</v>
      </c>
      <c r="M12" s="74">
        <f t="shared" si="0"/>
        <v>1900</v>
      </c>
    </row>
    <row r="13" spans="1:13" s="3" customFormat="1" x14ac:dyDescent="0.25">
      <c r="A13" s="48" t="s">
        <v>14</v>
      </c>
      <c r="B13" s="10">
        <v>3700</v>
      </c>
      <c r="C13" s="10">
        <v>1200</v>
      </c>
      <c r="D13" s="10"/>
      <c r="E13" s="10">
        <v>200</v>
      </c>
      <c r="F13" s="58">
        <v>200</v>
      </c>
      <c r="G13" s="65">
        <v>400</v>
      </c>
      <c r="H13" s="44">
        <v>0</v>
      </c>
      <c r="I13" s="44">
        <v>0</v>
      </c>
      <c r="J13" s="73">
        <v>0</v>
      </c>
      <c r="K13" s="44">
        <v>500</v>
      </c>
      <c r="L13" s="44">
        <f>15000+2500</f>
        <v>17500</v>
      </c>
      <c r="M13" s="74">
        <f>K13+L13</f>
        <v>18000</v>
      </c>
    </row>
    <row r="14" spans="1:13" s="34" customFormat="1" x14ac:dyDescent="0.25">
      <c r="A14" s="35" t="s">
        <v>15</v>
      </c>
      <c r="B14" s="8">
        <v>200</v>
      </c>
      <c r="C14" s="8"/>
      <c r="D14" s="8"/>
      <c r="E14" s="8"/>
      <c r="F14" s="57"/>
      <c r="G14" s="19"/>
      <c r="H14" s="55">
        <v>0</v>
      </c>
      <c r="I14" s="55">
        <v>0</v>
      </c>
      <c r="J14" s="73">
        <v>0</v>
      </c>
      <c r="K14" s="44">
        <v>0</v>
      </c>
      <c r="L14" s="44">
        <v>0</v>
      </c>
      <c r="M14" s="74">
        <f t="shared" si="0"/>
        <v>0</v>
      </c>
    </row>
    <row r="15" spans="1:13" x14ac:dyDescent="0.25">
      <c r="A15" s="27" t="s">
        <v>16</v>
      </c>
      <c r="B15" s="8">
        <v>200</v>
      </c>
      <c r="C15" s="8">
        <v>200</v>
      </c>
      <c r="D15" s="8"/>
      <c r="E15" s="8"/>
      <c r="F15" s="57">
        <v>200</v>
      </c>
      <c r="G15" s="66">
        <v>300</v>
      </c>
      <c r="H15" s="47">
        <f>1300+3000+1000+1000</f>
        <v>6300</v>
      </c>
      <c r="I15" s="47">
        <v>0</v>
      </c>
      <c r="J15" s="73">
        <v>0</v>
      </c>
      <c r="K15" s="44">
        <v>1100</v>
      </c>
      <c r="L15" s="44">
        <v>8700</v>
      </c>
      <c r="M15" s="74">
        <f t="shared" si="0"/>
        <v>9800</v>
      </c>
    </row>
    <row r="16" spans="1:13" s="46" customFormat="1" x14ac:dyDescent="0.25">
      <c r="A16" s="7" t="s">
        <v>17</v>
      </c>
      <c r="B16" s="8">
        <v>0</v>
      </c>
      <c r="C16" s="8"/>
      <c r="D16" s="8"/>
      <c r="E16" s="8">
        <v>400</v>
      </c>
      <c r="F16" s="57">
        <v>200</v>
      </c>
      <c r="G16" s="19">
        <v>200</v>
      </c>
      <c r="H16" s="44">
        <v>7500</v>
      </c>
      <c r="I16" s="44">
        <v>7500</v>
      </c>
      <c r="J16" s="73">
        <v>0</v>
      </c>
      <c r="K16" s="44">
        <v>1200</v>
      </c>
      <c r="L16" s="44">
        <v>0</v>
      </c>
      <c r="M16" s="74">
        <f t="shared" si="0"/>
        <v>1200</v>
      </c>
    </row>
    <row r="17" spans="1:13" s="3" customFormat="1" x14ac:dyDescent="0.25">
      <c r="A17" s="27" t="s">
        <v>19</v>
      </c>
      <c r="B17" s="8">
        <v>200</v>
      </c>
      <c r="C17" s="8">
        <v>200</v>
      </c>
      <c r="D17" s="8"/>
      <c r="E17" s="10">
        <v>700</v>
      </c>
      <c r="F17" s="58"/>
      <c r="G17" s="67"/>
      <c r="H17" s="47">
        <f>2400+3500+1600</f>
        <v>7500</v>
      </c>
      <c r="I17" s="47">
        <v>1800</v>
      </c>
      <c r="J17" s="73">
        <v>0</v>
      </c>
      <c r="K17" s="44">
        <v>800</v>
      </c>
      <c r="L17" s="44">
        <v>5700</v>
      </c>
      <c r="M17" s="74">
        <f t="shared" si="0"/>
        <v>6500</v>
      </c>
    </row>
    <row r="18" spans="1:13" s="3" customFormat="1" x14ac:dyDescent="0.25">
      <c r="A18" s="27" t="s">
        <v>20</v>
      </c>
      <c r="B18" s="8">
        <v>0</v>
      </c>
      <c r="C18" s="8"/>
      <c r="D18" s="8"/>
      <c r="E18" s="8"/>
      <c r="F18" s="57"/>
      <c r="G18" s="19"/>
      <c r="H18" s="47">
        <v>0</v>
      </c>
      <c r="I18" s="47">
        <v>0</v>
      </c>
      <c r="J18" s="73">
        <v>0</v>
      </c>
      <c r="K18" s="44">
        <f>2000+5200+2200</f>
        <v>9400</v>
      </c>
      <c r="L18" s="44">
        <v>24000</v>
      </c>
      <c r="M18" s="74">
        <f t="shared" si="0"/>
        <v>33400</v>
      </c>
    </row>
    <row r="19" spans="1:13" x14ac:dyDescent="0.25">
      <c r="A19" s="27" t="s">
        <v>21</v>
      </c>
      <c r="B19" s="8">
        <v>0</v>
      </c>
      <c r="C19" s="8"/>
      <c r="D19" s="8"/>
      <c r="E19" s="10">
        <v>650</v>
      </c>
      <c r="F19" s="58">
        <v>200</v>
      </c>
      <c r="G19" s="67"/>
      <c r="H19" s="47">
        <v>7500</v>
      </c>
      <c r="I19" s="44">
        <v>0</v>
      </c>
      <c r="J19" s="73">
        <v>0</v>
      </c>
      <c r="K19" s="44">
        <v>400</v>
      </c>
      <c r="L19" s="44">
        <v>7500</v>
      </c>
      <c r="M19" s="74">
        <f t="shared" si="0"/>
        <v>7900</v>
      </c>
    </row>
    <row r="20" spans="1:13" x14ac:dyDescent="0.25">
      <c r="A20" s="7" t="s">
        <v>22</v>
      </c>
      <c r="B20" s="8">
        <v>200</v>
      </c>
      <c r="C20" s="8">
        <v>200</v>
      </c>
      <c r="D20" s="10">
        <v>3400</v>
      </c>
      <c r="E20" s="62">
        <v>200</v>
      </c>
      <c r="F20" s="61">
        <v>200</v>
      </c>
      <c r="G20" s="68">
        <v>200</v>
      </c>
      <c r="H20" s="44">
        <v>7500</v>
      </c>
      <c r="I20" s="44">
        <f>4500+3000</f>
        <v>7500</v>
      </c>
      <c r="J20" s="73">
        <v>0</v>
      </c>
      <c r="K20" s="44">
        <v>300</v>
      </c>
      <c r="L20" s="44">
        <v>0</v>
      </c>
      <c r="M20" s="74">
        <f t="shared" si="0"/>
        <v>300</v>
      </c>
    </row>
    <row r="21" spans="1:13" ht="14.25" customHeight="1" x14ac:dyDescent="0.25">
      <c r="A21" s="7" t="s">
        <v>23</v>
      </c>
      <c r="B21" s="10">
        <v>600</v>
      </c>
      <c r="C21" s="22">
        <v>200</v>
      </c>
      <c r="D21" s="22">
        <v>400</v>
      </c>
      <c r="E21" s="22"/>
      <c r="F21" s="59"/>
      <c r="G21" s="65">
        <v>300</v>
      </c>
      <c r="H21" s="44">
        <v>7500</v>
      </c>
      <c r="I21" s="44">
        <f>2500+1200+150</f>
        <v>3850</v>
      </c>
      <c r="J21" s="73">
        <v>0</v>
      </c>
      <c r="K21" s="44">
        <v>800</v>
      </c>
      <c r="L21" s="44">
        <v>3650</v>
      </c>
      <c r="M21" s="74">
        <f t="shared" si="0"/>
        <v>4450</v>
      </c>
    </row>
    <row r="22" spans="1:13" x14ac:dyDescent="0.25">
      <c r="A22" s="30" t="s">
        <v>49</v>
      </c>
      <c r="B22" s="8">
        <v>200</v>
      </c>
      <c r="C22" s="8">
        <v>200</v>
      </c>
      <c r="D22" s="8">
        <v>300</v>
      </c>
      <c r="E22" s="8">
        <v>300</v>
      </c>
      <c r="F22" s="57">
        <v>250</v>
      </c>
      <c r="G22" s="19"/>
      <c r="H22" s="44">
        <v>7500</v>
      </c>
      <c r="I22" s="44">
        <v>7500</v>
      </c>
      <c r="J22" s="73">
        <v>1450</v>
      </c>
      <c r="K22" s="44">
        <v>0</v>
      </c>
      <c r="L22" s="44">
        <v>0</v>
      </c>
      <c r="M22" s="74">
        <f t="shared" si="0"/>
        <v>0</v>
      </c>
    </row>
    <row r="23" spans="1:13" x14ac:dyDescent="0.25">
      <c r="A23" s="30" t="s">
        <v>50</v>
      </c>
      <c r="B23" s="8">
        <v>200</v>
      </c>
      <c r="C23" s="8">
        <v>200</v>
      </c>
      <c r="D23" s="8">
        <v>200</v>
      </c>
      <c r="E23" s="8">
        <v>200</v>
      </c>
      <c r="F23" s="60">
        <v>300</v>
      </c>
      <c r="G23" s="19">
        <v>300</v>
      </c>
      <c r="H23" s="44">
        <v>7500</v>
      </c>
      <c r="I23" s="44">
        <v>7500</v>
      </c>
      <c r="J23" s="73">
        <f>1450+6050</f>
        <v>7500</v>
      </c>
      <c r="K23" s="44">
        <v>0</v>
      </c>
      <c r="L23" s="44">
        <v>0</v>
      </c>
      <c r="M23" s="74">
        <f t="shared" si="0"/>
        <v>0</v>
      </c>
    </row>
    <row r="24" spans="1:13" ht="17.25" customHeight="1" x14ac:dyDescent="0.25">
      <c r="A24" s="30" t="s">
        <v>46</v>
      </c>
      <c r="B24" s="8">
        <v>200</v>
      </c>
      <c r="C24" s="8"/>
      <c r="D24" s="8"/>
      <c r="E24" s="8"/>
      <c r="F24" s="57">
        <v>200</v>
      </c>
      <c r="G24" s="19">
        <v>200</v>
      </c>
      <c r="H24" s="44">
        <v>7500</v>
      </c>
      <c r="I24" s="44">
        <v>7500</v>
      </c>
      <c r="J24" s="73">
        <v>2850</v>
      </c>
      <c r="K24" s="44">
        <v>1500</v>
      </c>
      <c r="L24" s="44">
        <v>0</v>
      </c>
      <c r="M24" s="74">
        <f t="shared" si="0"/>
        <v>1500</v>
      </c>
    </row>
    <row r="25" spans="1:13" x14ac:dyDescent="0.25">
      <c r="B25" s="43"/>
      <c r="C25" s="43"/>
      <c r="D25" s="43"/>
      <c r="E25" s="43"/>
      <c r="F25" s="43"/>
      <c r="G25" s="69"/>
    </row>
    <row r="26" spans="1:13" x14ac:dyDescent="0.25">
      <c r="B26" s="43"/>
      <c r="C26" s="43"/>
      <c r="D26" s="43"/>
      <c r="E26" s="43"/>
      <c r="F26" s="43"/>
      <c r="G26" s="69"/>
    </row>
  </sheetData>
  <mergeCells count="2">
    <mergeCell ref="H1:I1"/>
    <mergeCell ref="K1:M1"/>
  </mergeCells>
  <phoneticPr fontId="10" type="noConversion"/>
  <pageMargins left="0.7" right="0.7" top="0.75" bottom="0.75" header="0.3" footer="0.3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MASESI JAMES</dc:creator>
  <cp:lastModifiedBy>MASESI JAMES</cp:lastModifiedBy>
  <cp:lastPrinted>2026-05-11T11:46:38Z</cp:lastPrinted>
  <dcterms:created xsi:type="dcterms:W3CDTF">2024-12-03T17:46:15Z</dcterms:created>
  <dcterms:modified xsi:type="dcterms:W3CDTF">2026-06-01T08:14:05Z</dcterms:modified>
</cp:coreProperties>
</file>